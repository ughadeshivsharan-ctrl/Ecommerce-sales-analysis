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cuments\python project\New folder\basic python.py\Ecommerce.py\"/>
    </mc:Choice>
  </mc:AlternateContent>
  <bookViews>
    <workbookView xWindow="0" yWindow="0" windowWidth="19200" windowHeight="6930" firstSheet="5" activeTab="6"/>
  </bookViews>
  <sheets>
    <sheet name=" sales_month_table" sheetId="2" r:id="rId1"/>
    <sheet name="sales_month analyses" sheetId="3" r:id="rId2"/>
    <sheet name="category_performance" sheetId="5" r:id="rId3"/>
    <sheet name="category_performance analyses" sheetId="6" r:id="rId4"/>
    <sheet name="category_performance top10" sheetId="7" r:id="rId5"/>
    <sheet name="regional_revenue" sheetId="9" r:id="rId6"/>
    <sheet name="regional_revenue analyses" sheetId="11" r:id="rId7"/>
    <sheet name="repeat_customers" sheetId="13" r:id="rId8"/>
    <sheet name="repeat_customers analyses" sheetId="14" r:id="rId9"/>
  </sheets>
  <definedNames>
    <definedName name="ExternalData_1" localSheetId="0" hidden="1">' sales_month_table'!$A$1:$C$24</definedName>
    <definedName name="ExternalData_1" localSheetId="2" hidden="1">category_performance!$A$1:$E$75</definedName>
    <definedName name="ExternalData_1" localSheetId="5" hidden="1">regional_revenue!$A$1:$D$28</definedName>
    <definedName name="ExternalData_1" localSheetId="7" hidden="1">repeat_customers!$A$1:$C$3</definedName>
  </definedNames>
  <calcPr calcId="162913"/>
  <pivotCaches>
    <pivotCache cacheId="0" r:id="rId10"/>
    <pivotCache cacheId="1" r:id="rId11"/>
    <pivotCache cacheId="4" r:id="rId12"/>
    <pivotCache cacheId="7" r:id="rId13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category_performance" description="Connection to the 'category_performance' query in the workbook." type="5" refreshedVersion="6" background="1" saveData="1">
    <dbPr connection="Provider=Microsoft.Mashup.OleDb.1;Data Source=$Workbook$;Location=category_performance;Extended Properties=&quot;&quot;" command="SELECT * FROM [category_performance]"/>
  </connection>
  <connection id="2" keepAlive="1" name="Query - monthly_sales" description="Connection to the 'monthly_sales' query in the workbook." type="5" refreshedVersion="6" background="1" saveData="1">
    <dbPr connection="Provider=Microsoft.Mashup.OleDb.1;Data Source=$Workbook$;Location=monthly_sales;Extended Properties=&quot;&quot;" command="SELECT * FROM [monthly_sales]"/>
  </connection>
  <connection id="3" keepAlive="1" name="Query - regional_revenue" description="Connection to the 'regional_revenue' query in the workbook." type="5" refreshedVersion="6" background="1" saveData="1">
    <dbPr connection="Provider=Microsoft.Mashup.OleDb.1;Data Source=$Workbook$;Location=regional_revenue;Extended Properties=&quot;&quot;" command="SELECT * FROM [regional_revenue]"/>
  </connection>
  <connection id="4" keepAlive="1" name="Query - repeat_customers" description="Connection to the 'repeat_customers' query in the workbook." type="5" refreshedVersion="6" background="1" saveData="1">
    <dbPr connection="Provider=Microsoft.Mashup.OleDb.1;Data Source=$Workbook$;Location=repeat_customers;Extended Properties=&quot;&quot;" command="SELECT * FROM [repeat_customers]"/>
  </connection>
</connections>
</file>

<file path=xl/sharedStrings.xml><?xml version="1.0" encoding="utf-8"?>
<sst xmlns="http://schemas.openxmlformats.org/spreadsheetml/2006/main" count="247" uniqueCount="120">
  <si>
    <t>sales_month</t>
  </si>
  <si>
    <t>total_orders</t>
  </si>
  <si>
    <t>total_sales</t>
  </si>
  <si>
    <t>Row Labels</t>
  </si>
  <si>
    <t>Grand Total</t>
  </si>
  <si>
    <t>Sum of total_orders</t>
  </si>
  <si>
    <t>Sum of total_sales</t>
  </si>
  <si>
    <t>product_category_name</t>
  </si>
  <si>
    <t>total_items_sold</t>
  </si>
  <si>
    <t>total_revenue</t>
  </si>
  <si>
    <t>avg_price</t>
  </si>
  <si>
    <t>beleza_saude</t>
  </si>
  <si>
    <t>relogios_presentes</t>
  </si>
  <si>
    <t>cama_mesa_banho</t>
  </si>
  <si>
    <t>esporte_lazer</t>
  </si>
  <si>
    <t>informatica_acessorios</t>
  </si>
  <si>
    <t>moveis_decoracao</t>
  </si>
  <si>
    <t>utilidades_domesticas</t>
  </si>
  <si>
    <t>cool_stuff</t>
  </si>
  <si>
    <t>automotivo</t>
  </si>
  <si>
    <t>brinquedos</t>
  </si>
  <si>
    <t>ferramentas_jardim</t>
  </si>
  <si>
    <t>bebes</t>
  </si>
  <si>
    <t>perfumaria</t>
  </si>
  <si>
    <t>telefonia</t>
  </si>
  <si>
    <t>moveis_escritorio</t>
  </si>
  <si>
    <t>papelaria</t>
  </si>
  <si>
    <t>pcs</t>
  </si>
  <si>
    <t>pet_shop</t>
  </si>
  <si>
    <t>instrumentos_musicais</t>
  </si>
  <si>
    <t>eletroportateis</t>
  </si>
  <si>
    <t>NULL</t>
  </si>
  <si>
    <t>eletronicos</t>
  </si>
  <si>
    <t>fashion_bolsas_e_acessorios</t>
  </si>
  <si>
    <t>consoles_games</t>
  </si>
  <si>
    <t>construcao_ferramentas_construcao</t>
  </si>
  <si>
    <t>malas_acessorios</t>
  </si>
  <si>
    <t>eletrodomesticos_2</t>
  </si>
  <si>
    <t>casa_construcao</t>
  </si>
  <si>
    <t>eletrodomesticos</t>
  </si>
  <si>
    <t>agro_industria_e_comercio</t>
  </si>
  <si>
    <t>moveis_sala</t>
  </si>
  <si>
    <t>casa_conforto</t>
  </si>
  <si>
    <t>telefonia_fixa</t>
  </si>
  <si>
    <t>climatizacao</t>
  </si>
  <si>
    <t>audio</t>
  </si>
  <si>
    <t>portateis_casa_forno_e_cafe</t>
  </si>
  <si>
    <t>moveis_cozinha_area_de_servico_jantar_e_jardim</t>
  </si>
  <si>
    <t>livros_interesse_geral</t>
  </si>
  <si>
    <t>construcao_ferramentas_iluminacao</t>
  </si>
  <si>
    <t>construcao_ferramentas_seguranca</t>
  </si>
  <si>
    <t>industria_comercio_e_negocios</t>
  </si>
  <si>
    <t>alimentos</t>
  </si>
  <si>
    <t>market_place</t>
  </si>
  <si>
    <t>construcao_ferramentas_jardim</t>
  </si>
  <si>
    <t>artes</t>
  </si>
  <si>
    <t>fashion_calcados</t>
  </si>
  <si>
    <t>bebidas</t>
  </si>
  <si>
    <t>sinalizacao_e_seguranca</t>
  </si>
  <si>
    <t>moveis_quarto</t>
  </si>
  <si>
    <t>livros_tecnicos</t>
  </si>
  <si>
    <t>construcao_ferramentas_ferramentas</t>
  </si>
  <si>
    <t>alimentos_bebidas</t>
  </si>
  <si>
    <t>fashion_roupa_masculina</t>
  </si>
  <si>
    <t>fashion_underwear_e_moda_praia</t>
  </si>
  <si>
    <t>artigos_de_natal</t>
  </si>
  <si>
    <t>tablets_impressao_imagem</t>
  </si>
  <si>
    <t>cine_foto</t>
  </si>
  <si>
    <t>musica</t>
  </si>
  <si>
    <t>dvds_blu_ray</t>
  </si>
  <si>
    <t>artigos_de_festas</t>
  </si>
  <si>
    <t>livros_importados</t>
  </si>
  <si>
    <t>moveis_colchao_e_estofado</t>
  </si>
  <si>
    <t>portateis_cozinha_e_preparadores_de_alimentos</t>
  </si>
  <si>
    <t>fashion_roupa_feminina</t>
  </si>
  <si>
    <t>fashion_esporte</t>
  </si>
  <si>
    <t>la_cuisine</t>
  </si>
  <si>
    <t>artes_e_artesanato</t>
  </si>
  <si>
    <t>fraldas_higiene</t>
  </si>
  <si>
    <t>pc_gamer</t>
  </si>
  <si>
    <t>flores</t>
  </si>
  <si>
    <t>casa_conforto_2</t>
  </si>
  <si>
    <t>cds_dvds_musicais</t>
  </si>
  <si>
    <t>fashion_roupa_infanto_juvenil</t>
  </si>
  <si>
    <t>seguros_e_servicos</t>
  </si>
  <si>
    <t>Sum of total_revenue</t>
  </si>
  <si>
    <t>customer_state</t>
  </si>
  <si>
    <t>avg_order_value</t>
  </si>
  <si>
    <t>SP</t>
  </si>
  <si>
    <t>RJ</t>
  </si>
  <si>
    <t>MG</t>
  </si>
  <si>
    <t>RS</t>
  </si>
  <si>
    <t>PR</t>
  </si>
  <si>
    <t>SC</t>
  </si>
  <si>
    <t>BA</t>
  </si>
  <si>
    <t>DF</t>
  </si>
  <si>
    <t>GO</t>
  </si>
  <si>
    <t>ES</t>
  </si>
  <si>
    <t>PE</t>
  </si>
  <si>
    <t>CE</t>
  </si>
  <si>
    <t>PA</t>
  </si>
  <si>
    <t>MT</t>
  </si>
  <si>
    <t>MA</t>
  </si>
  <si>
    <t>MS</t>
  </si>
  <si>
    <t>PB</t>
  </si>
  <si>
    <t>PI</t>
  </si>
  <si>
    <t>RN</t>
  </si>
  <si>
    <t>AL</t>
  </si>
  <si>
    <t>SE</t>
  </si>
  <si>
    <t>TO</t>
  </si>
  <si>
    <t>RO</t>
  </si>
  <si>
    <t>AM</t>
  </si>
  <si>
    <t>AC</t>
  </si>
  <si>
    <t>AP</t>
  </si>
  <si>
    <t>RR</t>
  </si>
  <si>
    <t>customer_type</t>
  </si>
  <si>
    <t>total_customers</t>
  </si>
  <si>
    <t>One-time Customer</t>
  </si>
  <si>
    <t>Repeat Customer</t>
  </si>
  <si>
    <t>Sum of total_customers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</si>
</sst>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/>
    <xf numFmtId="14" fontId="0" fillId="0" borderId="0" xfId="0" applyNumberFormat="1"/>
    <xf numFmtId="14" fontId="0" fillId="0" borderId="1" xfId="0" applyNumberFormat="1" applyBorder="1" applyAlignment="1">
      <alignment horizontal="left"/>
    </xf>
    <xf numFmtId="0" fontId="0" fillId="0" borderId="1" xfId="0" applyNumberFormat="1" applyBorder="1"/>
    <xf numFmtId="0" fontId="1" fillId="2" borderId="1" xfId="0" applyFont="1" applyFill="1" applyBorder="1"/>
    <xf numFmtId="14" fontId="0" fillId="2" borderId="1" xfId="0" applyNumberFormat="1" applyFill="1" applyBorder="1" applyAlignment="1">
      <alignment horizontal="left"/>
    </xf>
    <xf numFmtId="0" fontId="0" fillId="2" borderId="1" xfId="0" applyNumberFormat="1" applyFill="1" applyBorder="1"/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1" xfId="0" pivotButton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pivotButton="1" applyBorder="1" applyAlignment="1">
      <alignment horizontal="center"/>
    </xf>
  </cellXfs>
  <cellStyles count="1">
    <cellStyle name="Normal" xfId="0" builtinId="0"/>
  </cellStyles>
  <dxfs count="80">
    <dxf>
      <numFmt numFmtId="0" formatCode="General"/>
    </dxf>
    <dxf>
      <numFmt numFmtId="0" formatCode="General"/>
    </dxf>
    <dxf>
      <numFmt numFmtId="0" formatCode="General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 commerce data analysis.xlsx]sales_month analyses!PivotTable1</c:name>
    <c:fmtId val="3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5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</c:pivotFmt>
      <c:pivotFmt>
        <c:idx val="6"/>
        <c:spPr>
          <a:ln w="2222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>
            <a:glow rad="190500">
              <a:schemeClr val="accent2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190500">
                <a:schemeClr val="accent2">
                  <a:satMod val="175000"/>
                  <a:alpha val="14000"/>
                </a:schemeClr>
              </a:glo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'sales_month analyses'!$B$3</c:f>
              <c:strCache>
                <c:ptCount val="1"/>
                <c:pt idx="0">
                  <c:v>Sum of total_orders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'sales_month analyses'!$A$4:$A$27</c:f>
              <c:strCache>
                <c:ptCount val="23"/>
                <c:pt idx="0">
                  <c:v>01-09-2016</c:v>
                </c:pt>
                <c:pt idx="1">
                  <c:v>01-10-2016</c:v>
                </c:pt>
                <c:pt idx="2">
                  <c:v>01-12-2016</c:v>
                </c:pt>
                <c:pt idx="3">
                  <c:v>01-01-2017</c:v>
                </c:pt>
                <c:pt idx="4">
                  <c:v>01-02-2017</c:v>
                </c:pt>
                <c:pt idx="5">
                  <c:v>01-03-2017</c:v>
                </c:pt>
                <c:pt idx="6">
                  <c:v>01-04-2017</c:v>
                </c:pt>
                <c:pt idx="7">
                  <c:v>01-05-2017</c:v>
                </c:pt>
                <c:pt idx="8">
                  <c:v>01-06-2017</c:v>
                </c:pt>
                <c:pt idx="9">
                  <c:v>01-07-2017</c:v>
                </c:pt>
                <c:pt idx="10">
                  <c:v>01-08-2017</c:v>
                </c:pt>
                <c:pt idx="11">
                  <c:v>01-09-2017</c:v>
                </c:pt>
                <c:pt idx="12">
                  <c:v>01-10-2017</c:v>
                </c:pt>
                <c:pt idx="13">
                  <c:v>01-11-2017</c:v>
                </c:pt>
                <c:pt idx="14">
                  <c:v>01-12-2017</c:v>
                </c:pt>
                <c:pt idx="15">
                  <c:v>01-01-2018</c:v>
                </c:pt>
                <c:pt idx="16">
                  <c:v>01-02-2018</c:v>
                </c:pt>
                <c:pt idx="17">
                  <c:v>01-03-2018</c:v>
                </c:pt>
                <c:pt idx="18">
                  <c:v>01-04-2018</c:v>
                </c:pt>
                <c:pt idx="19">
                  <c:v>01-05-2018</c:v>
                </c:pt>
                <c:pt idx="20">
                  <c:v>01-06-2018</c:v>
                </c:pt>
                <c:pt idx="21">
                  <c:v>01-07-2018</c:v>
                </c:pt>
                <c:pt idx="22">
                  <c:v>01-08-2018</c:v>
                </c:pt>
              </c:strCache>
            </c:strRef>
          </c:cat>
          <c:val>
            <c:numRef>
              <c:f>'sales_month analyses'!$B$4:$B$27</c:f>
              <c:numCache>
                <c:formatCode>General</c:formatCode>
                <c:ptCount val="23"/>
                <c:pt idx="0">
                  <c:v>1</c:v>
                </c:pt>
                <c:pt idx="1">
                  <c:v>265</c:v>
                </c:pt>
                <c:pt idx="2">
                  <c:v>1</c:v>
                </c:pt>
                <c:pt idx="3">
                  <c:v>750</c:v>
                </c:pt>
                <c:pt idx="4">
                  <c:v>1653</c:v>
                </c:pt>
                <c:pt idx="5">
                  <c:v>2546</c:v>
                </c:pt>
                <c:pt idx="6">
                  <c:v>2303</c:v>
                </c:pt>
                <c:pt idx="7">
                  <c:v>3546</c:v>
                </c:pt>
                <c:pt idx="8">
                  <c:v>3135</c:v>
                </c:pt>
                <c:pt idx="9">
                  <c:v>3872</c:v>
                </c:pt>
                <c:pt idx="10">
                  <c:v>4193</c:v>
                </c:pt>
                <c:pt idx="11">
                  <c:v>4150</c:v>
                </c:pt>
                <c:pt idx="12">
                  <c:v>4478</c:v>
                </c:pt>
                <c:pt idx="13">
                  <c:v>7289</c:v>
                </c:pt>
                <c:pt idx="14">
                  <c:v>5513</c:v>
                </c:pt>
                <c:pt idx="15">
                  <c:v>7069</c:v>
                </c:pt>
                <c:pt idx="16">
                  <c:v>6555</c:v>
                </c:pt>
                <c:pt idx="17">
                  <c:v>7003</c:v>
                </c:pt>
                <c:pt idx="18">
                  <c:v>6798</c:v>
                </c:pt>
                <c:pt idx="19">
                  <c:v>6749</c:v>
                </c:pt>
                <c:pt idx="20">
                  <c:v>6099</c:v>
                </c:pt>
                <c:pt idx="21">
                  <c:v>6159</c:v>
                </c:pt>
                <c:pt idx="22">
                  <c:v>6351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67-42AD-AD4D-E4C6A4B28CDF}"/>
            </c:ext>
          </c:extLst>
        </c:ser>
        <c:ser>
          <c:idx val="1"/>
          <c:order val="1"/>
          <c:tx>
            <c:strRef>
              <c:f>'sales_month analyses'!$C$3</c:f>
              <c:strCache>
                <c:ptCount val="1"/>
                <c:pt idx="0">
                  <c:v>Sum of total_sales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Pt>
            <c:idx val="3"/>
            <c:marker>
              <c:symbol val="circle"/>
              <c:size val="4"/>
              <c:spPr>
                <a:solidFill>
                  <a:schemeClr val="accent2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190500">
                    <a:schemeClr val="accent2">
                      <a:satMod val="175000"/>
                      <a:alpha val="14000"/>
                    </a:schemeClr>
                  </a:glow>
                </a:effectLst>
              </c:spPr>
            </c:marker>
            <c:bubble3D val="0"/>
            <c:spPr>
              <a:ln w="22225" cap="rnd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>
                <a:glow rad="190500">
                  <a:schemeClr val="accent2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2-A867-42AD-AD4D-E4C6A4B28CDF}"/>
              </c:ext>
            </c:extLst>
          </c:dPt>
          <c:cat>
            <c:strRef>
              <c:f>'sales_month analyses'!$A$4:$A$27</c:f>
              <c:strCache>
                <c:ptCount val="23"/>
                <c:pt idx="0">
                  <c:v>01-09-2016</c:v>
                </c:pt>
                <c:pt idx="1">
                  <c:v>01-10-2016</c:v>
                </c:pt>
                <c:pt idx="2">
                  <c:v>01-12-2016</c:v>
                </c:pt>
                <c:pt idx="3">
                  <c:v>01-01-2017</c:v>
                </c:pt>
                <c:pt idx="4">
                  <c:v>01-02-2017</c:v>
                </c:pt>
                <c:pt idx="5">
                  <c:v>01-03-2017</c:v>
                </c:pt>
                <c:pt idx="6">
                  <c:v>01-04-2017</c:v>
                </c:pt>
                <c:pt idx="7">
                  <c:v>01-05-2017</c:v>
                </c:pt>
                <c:pt idx="8">
                  <c:v>01-06-2017</c:v>
                </c:pt>
                <c:pt idx="9">
                  <c:v>01-07-2017</c:v>
                </c:pt>
                <c:pt idx="10">
                  <c:v>01-08-2017</c:v>
                </c:pt>
                <c:pt idx="11">
                  <c:v>01-09-2017</c:v>
                </c:pt>
                <c:pt idx="12">
                  <c:v>01-10-2017</c:v>
                </c:pt>
                <c:pt idx="13">
                  <c:v>01-11-2017</c:v>
                </c:pt>
                <c:pt idx="14">
                  <c:v>01-12-2017</c:v>
                </c:pt>
                <c:pt idx="15">
                  <c:v>01-01-2018</c:v>
                </c:pt>
                <c:pt idx="16">
                  <c:v>01-02-2018</c:v>
                </c:pt>
                <c:pt idx="17">
                  <c:v>01-03-2018</c:v>
                </c:pt>
                <c:pt idx="18">
                  <c:v>01-04-2018</c:v>
                </c:pt>
                <c:pt idx="19">
                  <c:v>01-05-2018</c:v>
                </c:pt>
                <c:pt idx="20">
                  <c:v>01-06-2018</c:v>
                </c:pt>
                <c:pt idx="21">
                  <c:v>01-07-2018</c:v>
                </c:pt>
                <c:pt idx="22">
                  <c:v>01-08-2018</c:v>
                </c:pt>
              </c:strCache>
            </c:strRef>
          </c:cat>
          <c:val>
            <c:numRef>
              <c:f>'sales_month analyses'!$C$4:$C$27</c:f>
              <c:numCache>
                <c:formatCode>General</c:formatCode>
                <c:ptCount val="23"/>
                <c:pt idx="0">
                  <c:v>134.97</c:v>
                </c:pt>
                <c:pt idx="1">
                  <c:v>40325.11</c:v>
                </c:pt>
                <c:pt idx="2">
                  <c:v>10.9</c:v>
                </c:pt>
                <c:pt idx="3">
                  <c:v>111798.36</c:v>
                </c:pt>
                <c:pt idx="4">
                  <c:v>234223.4</c:v>
                </c:pt>
                <c:pt idx="5">
                  <c:v>359198.85</c:v>
                </c:pt>
                <c:pt idx="6">
                  <c:v>340669.68</c:v>
                </c:pt>
                <c:pt idx="7">
                  <c:v>489338.25</c:v>
                </c:pt>
                <c:pt idx="8">
                  <c:v>421923.37</c:v>
                </c:pt>
                <c:pt idx="9">
                  <c:v>481604.52</c:v>
                </c:pt>
                <c:pt idx="10">
                  <c:v>554699.69999999995</c:v>
                </c:pt>
                <c:pt idx="11">
                  <c:v>607399.67000000004</c:v>
                </c:pt>
                <c:pt idx="12">
                  <c:v>648247.65</c:v>
                </c:pt>
                <c:pt idx="13">
                  <c:v>987765.37</c:v>
                </c:pt>
                <c:pt idx="14">
                  <c:v>726033.19</c:v>
                </c:pt>
                <c:pt idx="15">
                  <c:v>924645</c:v>
                </c:pt>
                <c:pt idx="16">
                  <c:v>826437.13</c:v>
                </c:pt>
                <c:pt idx="17">
                  <c:v>953356.25</c:v>
                </c:pt>
                <c:pt idx="18">
                  <c:v>973534.09</c:v>
                </c:pt>
                <c:pt idx="19">
                  <c:v>977544.69</c:v>
                </c:pt>
                <c:pt idx="20">
                  <c:v>856077.86</c:v>
                </c:pt>
                <c:pt idx="21">
                  <c:v>867953.46</c:v>
                </c:pt>
                <c:pt idx="22">
                  <c:v>838576.64000000001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67-42AD-AD4D-E4C6A4B28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5227103"/>
        <c:axId val="1545237503"/>
      </c:lineChart>
      <c:catAx>
        <c:axId val="154522710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237503"/>
        <c:crosses val="autoZero"/>
        <c:auto val="1"/>
        <c:lblAlgn val="ctr"/>
        <c:lblOffset val="100"/>
        <c:noMultiLvlLbl val="0"/>
      </c:catAx>
      <c:valAx>
        <c:axId val="154523750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227103"/>
        <c:crosses val="autoZero"/>
        <c:crossBetween val="between"/>
      </c:valAx>
      <c:spPr>
        <a:noFill/>
        <a:ln w="38100">
          <a:solidFill>
            <a:schemeClr val="accent1">
              <a:alpha val="74000"/>
            </a:schemeClr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 commerce data analysis.xlsx]category_performance analyses!PivotTable2</c:name>
    <c:fmtId val="9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'category_performance analyses'!$B$3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'category_performance analyses'!$A$4:$A$78</c:f>
              <c:strCache>
                <c:ptCount val="74"/>
                <c:pt idx="0">
                  <c:v>agro_industria_e_comercio</c:v>
                </c:pt>
                <c:pt idx="1">
                  <c:v>alimentos</c:v>
                </c:pt>
                <c:pt idx="2">
                  <c:v>alimentos_bebidas</c:v>
                </c:pt>
                <c:pt idx="3">
                  <c:v>artes</c:v>
                </c:pt>
                <c:pt idx="4">
                  <c:v>artes_e_artesanato</c:v>
                </c:pt>
                <c:pt idx="5">
                  <c:v>artigos_de_festas</c:v>
                </c:pt>
                <c:pt idx="6">
                  <c:v>artigos_de_natal</c:v>
                </c:pt>
                <c:pt idx="7">
                  <c:v>audio</c:v>
                </c:pt>
                <c:pt idx="8">
                  <c:v>automotivo</c:v>
                </c:pt>
                <c:pt idx="9">
                  <c:v>bebes</c:v>
                </c:pt>
                <c:pt idx="10">
                  <c:v>bebidas</c:v>
                </c:pt>
                <c:pt idx="11">
                  <c:v>beleza_saude</c:v>
                </c:pt>
                <c:pt idx="12">
                  <c:v>brinquedos</c:v>
                </c:pt>
                <c:pt idx="13">
                  <c:v>cama_mesa_banho</c:v>
                </c:pt>
                <c:pt idx="14">
                  <c:v>casa_conforto</c:v>
                </c:pt>
                <c:pt idx="15">
                  <c:v>casa_conforto_2</c:v>
                </c:pt>
                <c:pt idx="16">
                  <c:v>casa_construcao</c:v>
                </c:pt>
                <c:pt idx="17">
                  <c:v>cds_dvds_musicais</c:v>
                </c:pt>
                <c:pt idx="18">
                  <c:v>cine_foto</c:v>
                </c:pt>
                <c:pt idx="19">
                  <c:v>climatizacao</c:v>
                </c:pt>
                <c:pt idx="20">
                  <c:v>consoles_games</c:v>
                </c:pt>
                <c:pt idx="21">
                  <c:v>construcao_ferramentas_construcao</c:v>
                </c:pt>
                <c:pt idx="22">
                  <c:v>construcao_ferramentas_ferramentas</c:v>
                </c:pt>
                <c:pt idx="23">
                  <c:v>construcao_ferramentas_iluminacao</c:v>
                </c:pt>
                <c:pt idx="24">
                  <c:v>construcao_ferramentas_jardim</c:v>
                </c:pt>
                <c:pt idx="25">
                  <c:v>construcao_ferramentas_seguranca</c:v>
                </c:pt>
                <c:pt idx="26">
                  <c:v>cool_stuff</c:v>
                </c:pt>
                <c:pt idx="27">
                  <c:v>dvds_blu_ray</c:v>
                </c:pt>
                <c:pt idx="28">
                  <c:v>eletrodomesticos</c:v>
                </c:pt>
                <c:pt idx="29">
                  <c:v>eletrodomesticos_2</c:v>
                </c:pt>
                <c:pt idx="30">
                  <c:v>eletronicos</c:v>
                </c:pt>
                <c:pt idx="31">
                  <c:v>eletroportateis</c:v>
                </c:pt>
                <c:pt idx="32">
                  <c:v>esporte_lazer</c:v>
                </c:pt>
                <c:pt idx="33">
                  <c:v>fashion_bolsas_e_acessorios</c:v>
                </c:pt>
                <c:pt idx="34">
                  <c:v>fashion_calcados</c:v>
                </c:pt>
                <c:pt idx="35">
                  <c:v>fashion_esporte</c:v>
                </c:pt>
                <c:pt idx="36">
                  <c:v>fashion_roupa_feminina</c:v>
                </c:pt>
                <c:pt idx="37">
                  <c:v>fashion_roupa_infanto_juvenil</c:v>
                </c:pt>
                <c:pt idx="38">
                  <c:v>fashion_roupa_masculina</c:v>
                </c:pt>
                <c:pt idx="39">
                  <c:v>fashion_underwear_e_moda_praia</c:v>
                </c:pt>
                <c:pt idx="40">
                  <c:v>ferramentas_jardim</c:v>
                </c:pt>
                <c:pt idx="41">
                  <c:v>flores</c:v>
                </c:pt>
                <c:pt idx="42">
                  <c:v>fraldas_higiene</c:v>
                </c:pt>
                <c:pt idx="43">
                  <c:v>industria_comercio_e_negocios</c:v>
                </c:pt>
                <c:pt idx="44">
                  <c:v>informatica_acessorios</c:v>
                </c:pt>
                <c:pt idx="45">
                  <c:v>instrumentos_musicais</c:v>
                </c:pt>
                <c:pt idx="46">
                  <c:v>la_cuisine</c:v>
                </c:pt>
                <c:pt idx="47">
                  <c:v>livros_importados</c:v>
                </c:pt>
                <c:pt idx="48">
                  <c:v>livros_interesse_geral</c:v>
                </c:pt>
                <c:pt idx="49">
                  <c:v>livros_tecnicos</c:v>
                </c:pt>
                <c:pt idx="50">
                  <c:v>malas_acessorios</c:v>
                </c:pt>
                <c:pt idx="51">
                  <c:v>market_place</c:v>
                </c:pt>
                <c:pt idx="52">
                  <c:v>moveis_colchao_e_estofado</c:v>
                </c:pt>
                <c:pt idx="53">
                  <c:v>moveis_cozinha_area_de_servico_jantar_e_jardim</c:v>
                </c:pt>
                <c:pt idx="54">
                  <c:v>moveis_decoracao</c:v>
                </c:pt>
                <c:pt idx="55">
                  <c:v>moveis_escritorio</c:v>
                </c:pt>
                <c:pt idx="56">
                  <c:v>moveis_quarto</c:v>
                </c:pt>
                <c:pt idx="57">
                  <c:v>moveis_sala</c:v>
                </c:pt>
                <c:pt idx="58">
                  <c:v>musica</c:v>
                </c:pt>
                <c:pt idx="59">
                  <c:v>NULL</c:v>
                </c:pt>
                <c:pt idx="60">
                  <c:v>papelaria</c:v>
                </c:pt>
                <c:pt idx="61">
                  <c:v>pc_gamer</c:v>
                </c:pt>
                <c:pt idx="62">
                  <c:v>pcs</c:v>
                </c:pt>
                <c:pt idx="63">
                  <c:v>perfumaria</c:v>
                </c:pt>
                <c:pt idx="64">
                  <c:v>pet_shop</c:v>
                </c:pt>
                <c:pt idx="65">
                  <c:v>portateis_casa_forno_e_cafe</c:v>
                </c:pt>
                <c:pt idx="66">
                  <c:v>portateis_cozinha_e_preparadores_de_alimentos</c:v>
                </c:pt>
                <c:pt idx="67">
                  <c:v>relogios_presentes</c:v>
                </c:pt>
                <c:pt idx="68">
                  <c:v>seguros_e_servicos</c:v>
                </c:pt>
                <c:pt idx="69">
                  <c:v>sinalizacao_e_seguranca</c:v>
                </c:pt>
                <c:pt idx="70">
                  <c:v>tablets_impressao_imagem</c:v>
                </c:pt>
                <c:pt idx="71">
                  <c:v>telefonia</c:v>
                </c:pt>
                <c:pt idx="72">
                  <c:v>telefonia_fixa</c:v>
                </c:pt>
                <c:pt idx="73">
                  <c:v>utilidades_domesticas</c:v>
                </c:pt>
              </c:strCache>
            </c:strRef>
          </c:cat>
          <c:val>
            <c:numRef>
              <c:f>'category_performance analyses'!$B$4:$B$78</c:f>
              <c:numCache>
                <c:formatCode>General</c:formatCode>
                <c:ptCount val="74"/>
                <c:pt idx="0">
                  <c:v>70566.100000000006</c:v>
                </c:pt>
                <c:pt idx="1">
                  <c:v>28731.15</c:v>
                </c:pt>
                <c:pt idx="2">
                  <c:v>14942.88</c:v>
                </c:pt>
                <c:pt idx="3">
                  <c:v>23657.3</c:v>
                </c:pt>
                <c:pt idx="4">
                  <c:v>1814.01</c:v>
                </c:pt>
                <c:pt idx="5">
                  <c:v>4465.1899999999996</c:v>
                </c:pt>
                <c:pt idx="6">
                  <c:v>8737.84</c:v>
                </c:pt>
                <c:pt idx="7">
                  <c:v>50570.6</c:v>
                </c:pt>
                <c:pt idx="8">
                  <c:v>578966.65</c:v>
                </c:pt>
                <c:pt idx="9">
                  <c:v>400421.84</c:v>
                </c:pt>
                <c:pt idx="10">
                  <c:v>21529.84</c:v>
                </c:pt>
                <c:pt idx="11">
                  <c:v>1233131.72</c:v>
                </c:pt>
                <c:pt idx="12">
                  <c:v>471286.48</c:v>
                </c:pt>
                <c:pt idx="13">
                  <c:v>1023434.76</c:v>
                </c:pt>
                <c:pt idx="14">
                  <c:v>58008.45</c:v>
                </c:pt>
                <c:pt idx="15">
                  <c:v>760.27</c:v>
                </c:pt>
                <c:pt idx="16">
                  <c:v>81407.570000000007</c:v>
                </c:pt>
                <c:pt idx="17">
                  <c:v>730</c:v>
                </c:pt>
                <c:pt idx="18">
                  <c:v>6674.47</c:v>
                </c:pt>
                <c:pt idx="19">
                  <c:v>53323.56</c:v>
                </c:pt>
                <c:pt idx="20">
                  <c:v>148003.37</c:v>
                </c:pt>
                <c:pt idx="21">
                  <c:v>142108.49</c:v>
                </c:pt>
                <c:pt idx="22">
                  <c:v>15903.95</c:v>
                </c:pt>
                <c:pt idx="23">
                  <c:v>39957</c:v>
                </c:pt>
                <c:pt idx="24">
                  <c:v>25096.28</c:v>
                </c:pt>
                <c:pt idx="25">
                  <c:v>38773.22</c:v>
                </c:pt>
                <c:pt idx="26">
                  <c:v>610204.1</c:v>
                </c:pt>
                <c:pt idx="27">
                  <c:v>4542.59</c:v>
                </c:pt>
                <c:pt idx="28">
                  <c:v>78832.479999999996</c:v>
                </c:pt>
                <c:pt idx="29">
                  <c:v>107953.95</c:v>
                </c:pt>
                <c:pt idx="30">
                  <c:v>155043.93</c:v>
                </c:pt>
                <c:pt idx="31">
                  <c:v>182754.12</c:v>
                </c:pt>
                <c:pt idx="32">
                  <c:v>954852.55</c:v>
                </c:pt>
                <c:pt idx="33">
                  <c:v>149329.39000000001</c:v>
                </c:pt>
                <c:pt idx="34">
                  <c:v>23001.46</c:v>
                </c:pt>
                <c:pt idx="35">
                  <c:v>2094.52</c:v>
                </c:pt>
                <c:pt idx="36">
                  <c:v>2634.94</c:v>
                </c:pt>
                <c:pt idx="37">
                  <c:v>519.95000000000005</c:v>
                </c:pt>
                <c:pt idx="38">
                  <c:v>10452.33</c:v>
                </c:pt>
                <c:pt idx="39">
                  <c:v>9305.9500000000007</c:v>
                </c:pt>
                <c:pt idx="40">
                  <c:v>470495.28</c:v>
                </c:pt>
                <c:pt idx="41">
                  <c:v>1110.04</c:v>
                </c:pt>
                <c:pt idx="42">
                  <c:v>1500.79</c:v>
                </c:pt>
                <c:pt idx="43">
                  <c:v>38498.81</c:v>
                </c:pt>
                <c:pt idx="44">
                  <c:v>888724.61</c:v>
                </c:pt>
                <c:pt idx="45">
                  <c:v>184315.74</c:v>
                </c:pt>
                <c:pt idx="46">
                  <c:v>2054.9899999999998</c:v>
                </c:pt>
                <c:pt idx="47">
                  <c:v>4418.8599999999997</c:v>
                </c:pt>
                <c:pt idx="48">
                  <c:v>45302.15</c:v>
                </c:pt>
                <c:pt idx="49">
                  <c:v>18702.23</c:v>
                </c:pt>
                <c:pt idx="50">
                  <c:v>138701.63</c:v>
                </c:pt>
                <c:pt idx="51">
                  <c:v>27795.77</c:v>
                </c:pt>
                <c:pt idx="52">
                  <c:v>4323.38</c:v>
                </c:pt>
                <c:pt idx="53">
                  <c:v>45531.98</c:v>
                </c:pt>
                <c:pt idx="54">
                  <c:v>711927.69</c:v>
                </c:pt>
                <c:pt idx="55">
                  <c:v>268154.31</c:v>
                </c:pt>
                <c:pt idx="56">
                  <c:v>19051.8</c:v>
                </c:pt>
                <c:pt idx="57">
                  <c:v>67350.7</c:v>
                </c:pt>
                <c:pt idx="58">
                  <c:v>6034.35</c:v>
                </c:pt>
                <c:pt idx="59">
                  <c:v>170726.63</c:v>
                </c:pt>
                <c:pt idx="60">
                  <c:v>223788.69</c:v>
                </c:pt>
                <c:pt idx="61">
                  <c:v>1306.95</c:v>
                </c:pt>
                <c:pt idx="62">
                  <c:v>218684.14</c:v>
                </c:pt>
                <c:pt idx="63">
                  <c:v>390144.65</c:v>
                </c:pt>
                <c:pt idx="64">
                  <c:v>211695.64</c:v>
                </c:pt>
                <c:pt idx="65">
                  <c:v>46589.56</c:v>
                </c:pt>
                <c:pt idx="66">
                  <c:v>3933.63</c:v>
                </c:pt>
                <c:pt idx="67">
                  <c:v>1166176.98</c:v>
                </c:pt>
                <c:pt idx="68">
                  <c:v>283.29000000000002</c:v>
                </c:pt>
                <c:pt idx="69">
                  <c:v>21315.05</c:v>
                </c:pt>
                <c:pt idx="70">
                  <c:v>7528.41</c:v>
                </c:pt>
                <c:pt idx="71">
                  <c:v>309860.23</c:v>
                </c:pt>
                <c:pt idx="72">
                  <c:v>55315.21</c:v>
                </c:pt>
                <c:pt idx="73">
                  <c:v>615628.68999999994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8-42EF-8F3E-6C8706FEE08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0415439"/>
        <c:axId val="470408783"/>
      </c:barChart>
      <c:catAx>
        <c:axId val="47041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408783"/>
        <c:crosses val="autoZero"/>
        <c:auto val="1"/>
        <c:lblAlgn val="ctr"/>
        <c:lblOffset val="100"/>
        <c:noMultiLvlLbl val="0"/>
      </c:catAx>
      <c:valAx>
        <c:axId val="47040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41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51134">
            <a:srgbClr val="C9DEF1"/>
          </a:gs>
          <a:gs pos="74000">
            <a:schemeClr val="accent1">
              <a:lumMod val="45000"/>
              <a:lumOff val="55000"/>
            </a:schemeClr>
          </a:gs>
          <a:gs pos="0">
            <a:srgbClr val="C2DAEF"/>
          </a:gs>
          <a:gs pos="6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 commerce data analysis.xlsx]category_performance top10!PivotTable1</c:name>
    <c:fmtId val="15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'category_performance top10'!$F$5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'category_performance top10'!$E$6:$E$16</c:f>
              <c:strCache>
                <c:ptCount val="10"/>
                <c:pt idx="0">
                  <c:v>automotivo</c:v>
                </c:pt>
                <c:pt idx="1">
                  <c:v>beleza_saude</c:v>
                </c:pt>
                <c:pt idx="2">
                  <c:v>brinquedos</c:v>
                </c:pt>
                <c:pt idx="3">
                  <c:v>cama_mesa_banho</c:v>
                </c:pt>
                <c:pt idx="4">
                  <c:v>cool_stuff</c:v>
                </c:pt>
                <c:pt idx="5">
                  <c:v>esporte_lazer</c:v>
                </c:pt>
                <c:pt idx="6">
                  <c:v>informatica_acessorios</c:v>
                </c:pt>
                <c:pt idx="7">
                  <c:v>moveis_decoracao</c:v>
                </c:pt>
                <c:pt idx="8">
                  <c:v>relogios_presentes</c:v>
                </c:pt>
                <c:pt idx="9">
                  <c:v>utilidades_domesticas</c:v>
                </c:pt>
              </c:strCache>
            </c:strRef>
          </c:cat>
          <c:val>
            <c:numRef>
              <c:f>'category_performance top10'!$F$6:$F$16</c:f>
              <c:numCache>
                <c:formatCode>General</c:formatCode>
                <c:ptCount val="10"/>
                <c:pt idx="0">
                  <c:v>578966.65</c:v>
                </c:pt>
                <c:pt idx="1">
                  <c:v>1233131.72</c:v>
                </c:pt>
                <c:pt idx="2">
                  <c:v>471286.48</c:v>
                </c:pt>
                <c:pt idx="3">
                  <c:v>1023434.76</c:v>
                </c:pt>
                <c:pt idx="4">
                  <c:v>610204.1</c:v>
                </c:pt>
                <c:pt idx="5">
                  <c:v>954852.55</c:v>
                </c:pt>
                <c:pt idx="6">
                  <c:v>888724.61</c:v>
                </c:pt>
                <c:pt idx="7">
                  <c:v>711927.69</c:v>
                </c:pt>
                <c:pt idx="8">
                  <c:v>1166176.98</c:v>
                </c:pt>
                <c:pt idx="9">
                  <c:v>615628.68999999994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22-45C3-94C3-1C5B42F6E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81823"/>
        <c:axId val="893279743"/>
      </c:barChart>
      <c:catAx>
        <c:axId val="89328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279743"/>
        <c:crosses val="autoZero"/>
        <c:auto val="1"/>
        <c:lblAlgn val="ctr"/>
        <c:lblOffset val="100"/>
        <c:noMultiLvlLbl val="0"/>
      </c:catAx>
      <c:valAx>
        <c:axId val="89327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281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 commerce data analysis.xlsx]regional_revenue analyses!PivotTable2</c:name>
    <c:fmtId val="1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'regional_revenue analyses'!$B$3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'regional_revenue analyses'!$A$4:$A$31</c:f>
              <c:strCache>
                <c:ptCount val="27"/>
                <c:pt idx="0">
                  <c:v>AC</c:v>
                </c:pt>
                <c:pt idx="1">
                  <c:v>AL</c:v>
                </c:pt>
                <c:pt idx="2">
                  <c:v>AM</c:v>
                </c:pt>
                <c:pt idx="3">
                  <c:v>AP</c:v>
                </c:pt>
                <c:pt idx="4">
                  <c:v>BA</c:v>
                </c:pt>
                <c:pt idx="5">
                  <c:v>CE</c:v>
                </c:pt>
                <c:pt idx="6">
                  <c:v>DF</c:v>
                </c:pt>
                <c:pt idx="7">
                  <c:v>ES</c:v>
                </c:pt>
                <c:pt idx="8">
                  <c:v>GO</c:v>
                </c:pt>
                <c:pt idx="9">
                  <c:v>MA</c:v>
                </c:pt>
                <c:pt idx="10">
                  <c:v>MG</c:v>
                </c:pt>
                <c:pt idx="11">
                  <c:v>MS</c:v>
                </c:pt>
                <c:pt idx="12">
                  <c:v>MT</c:v>
                </c:pt>
                <c:pt idx="13">
                  <c:v>PA</c:v>
                </c:pt>
                <c:pt idx="14">
                  <c:v>PB</c:v>
                </c:pt>
                <c:pt idx="15">
                  <c:v>PE</c:v>
                </c:pt>
                <c:pt idx="16">
                  <c:v>PI</c:v>
                </c:pt>
                <c:pt idx="17">
                  <c:v>PR</c:v>
                </c:pt>
                <c:pt idx="18">
                  <c:v>RJ</c:v>
                </c:pt>
                <c:pt idx="19">
                  <c:v>RN</c:v>
                </c:pt>
                <c:pt idx="20">
                  <c:v>RO</c:v>
                </c:pt>
                <c:pt idx="21">
                  <c:v>RR</c:v>
                </c:pt>
                <c:pt idx="22">
                  <c:v>RS</c:v>
                </c:pt>
                <c:pt idx="23">
                  <c:v>SC</c:v>
                </c:pt>
                <c:pt idx="24">
                  <c:v>SE</c:v>
                </c:pt>
                <c:pt idx="25">
                  <c:v>SP</c:v>
                </c:pt>
                <c:pt idx="26">
                  <c:v>TO</c:v>
                </c:pt>
              </c:strCache>
            </c:strRef>
          </c:cat>
          <c:val>
            <c:numRef>
              <c:f>'regional_revenue analyses'!$B$4:$B$31</c:f>
              <c:numCache>
                <c:formatCode>General</c:formatCode>
                <c:ptCount val="27"/>
                <c:pt idx="0">
                  <c:v>15930.97</c:v>
                </c:pt>
                <c:pt idx="1">
                  <c:v>78855.72</c:v>
                </c:pt>
                <c:pt idx="2">
                  <c:v>22155.84</c:v>
                </c:pt>
                <c:pt idx="3">
                  <c:v>13374.81</c:v>
                </c:pt>
                <c:pt idx="4">
                  <c:v>493584.14</c:v>
                </c:pt>
                <c:pt idx="5">
                  <c:v>219757.38</c:v>
                </c:pt>
                <c:pt idx="6">
                  <c:v>296498.40999999997</c:v>
                </c:pt>
                <c:pt idx="7">
                  <c:v>268643.45</c:v>
                </c:pt>
                <c:pt idx="8">
                  <c:v>282836.7</c:v>
                </c:pt>
                <c:pt idx="9">
                  <c:v>117009.38</c:v>
                </c:pt>
                <c:pt idx="10">
                  <c:v>1552481.83</c:v>
                </c:pt>
                <c:pt idx="11">
                  <c:v>115429.97</c:v>
                </c:pt>
                <c:pt idx="12">
                  <c:v>152191.62</c:v>
                </c:pt>
                <c:pt idx="13">
                  <c:v>174470.59</c:v>
                </c:pt>
                <c:pt idx="14">
                  <c:v>112586.82</c:v>
                </c:pt>
                <c:pt idx="15">
                  <c:v>251889.49</c:v>
                </c:pt>
                <c:pt idx="16">
                  <c:v>84721</c:v>
                </c:pt>
                <c:pt idx="17">
                  <c:v>666063.51</c:v>
                </c:pt>
                <c:pt idx="18">
                  <c:v>1759651.13</c:v>
                </c:pt>
                <c:pt idx="19">
                  <c:v>82105.66</c:v>
                </c:pt>
                <c:pt idx="20">
                  <c:v>45682.76</c:v>
                </c:pt>
                <c:pt idx="21">
                  <c:v>7057.47</c:v>
                </c:pt>
                <c:pt idx="22">
                  <c:v>728897.47</c:v>
                </c:pt>
                <c:pt idx="23">
                  <c:v>507012.13</c:v>
                </c:pt>
                <c:pt idx="24">
                  <c:v>56574.19</c:v>
                </c:pt>
                <c:pt idx="25">
                  <c:v>5067633.16</c:v>
                </c:pt>
                <c:pt idx="26">
                  <c:v>48402.51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F-40CF-A12E-3B35B7DFD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20638575"/>
        <c:axId val="820625263"/>
      </c:barChart>
      <c:catAx>
        <c:axId val="820638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625263"/>
        <c:crosses val="autoZero"/>
        <c:auto val="1"/>
        <c:lblAlgn val="ctr"/>
        <c:lblOffset val="100"/>
        <c:noMultiLvlLbl val="0"/>
      </c:catAx>
      <c:valAx>
        <c:axId val="820625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63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 commerce data analysis.xlsx]repeat_customers analyses!PivotTable3</c:name>
    <c:fmtId val="9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layout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'repeat_customers analyses'!$B$3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'repeat_customers analyses'!$A$4:$A$6</c:f>
              <c:strCache>
                <c:ptCount val="2"/>
                <c:pt idx="0">
                  <c:v>One-time Customer</c:v>
                </c:pt>
                <c:pt idx="1">
                  <c:v>Repeat Customer</c:v>
                </c:pt>
              </c:strCache>
            </c:strRef>
          </c:cat>
          <c:val>
            <c:numRef>
              <c:f>'repeat_customers analyses'!$B$4:$B$6</c:f>
              <c:numCache>
                <c:formatCode>General</c:formatCode>
                <c:ptCount val="2"/>
                <c:pt idx="0">
                  <c:v>90557</c:v>
                </c:pt>
                <c:pt idx="1">
                  <c:v>2801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2F-4D98-8E16-993E75AE3BC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577850</xdr:colOff>
      <xdr:row>2</xdr:row>
      <xdr:rowOff>3174</xdr:rowOff>
    </xdr:from>
    <xdr:to>
      <xdr:col>12</xdr:col>
      <xdr:colOff>273049</xdr:colOff>
      <xdr:row>26</xdr:row>
      <xdr:rowOff>158750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1190</xdr:colOff>
      <xdr:row>2</xdr:row>
      <xdr:rowOff>9524</xdr:rowOff>
    </xdr:from>
    <xdr:to>
      <xdr:col>14</xdr:col>
      <xdr:colOff>168671</xdr:colOff>
      <xdr:row>77</xdr:row>
      <xdr:rowOff>177800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596900</xdr:colOff>
      <xdr:row>4</xdr:row>
      <xdr:rowOff>34925</xdr:rowOff>
    </xdr:from>
    <xdr:to>
      <xdr:col>14</xdr:col>
      <xdr:colOff>292100</xdr:colOff>
      <xdr:row>16</xdr:row>
      <xdr:rowOff>31750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82550</xdr:rowOff>
    </xdr:from>
    <xdr:to>
      <xdr:col>11</xdr:col>
      <xdr:colOff>285750</xdr:colOff>
      <xdr:row>30</xdr:row>
      <xdr:rowOff>146050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177800</xdr:colOff>
      <xdr:row>1</xdr:row>
      <xdr:rowOff>104775</xdr:rowOff>
    </xdr:from>
    <xdr:to>
      <xdr:col>9</xdr:col>
      <xdr:colOff>482600</xdr:colOff>
      <xdr:row>16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250.750870254633" createdVersion="6" refreshedVersion="6" minRefreshableVersion="3" recordCount="23">
  <cacheSource type="worksheet">
    <worksheetSource name="monthly_sales"/>
  </cacheSource>
  <cacheFields count="3">
    <cacheField name="sales_month" numFmtId="14">
      <sharedItems containsSemiMixedTypes="0" containsNonDate="0" containsDate="1" containsString="0" minDate="2016-09-01T00:00:00" maxDate="2018-08-02T00:00:00" count="23">
        <d v="2016-09-01T00:00:00"/>
        <d v="2016-10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</sharedItems>
    </cacheField>
    <cacheField name="total_orders" numFmtId="0">
      <sharedItems containsSemiMixedTypes="0" containsString="0" containsNumber="1" containsInteger="1" minValue="1" maxValue="7289"/>
    </cacheField>
    <cacheField name="total_sales" numFmtId="0">
      <sharedItems containsSemiMixedTypes="0" containsString="0" containsNumber="1" minValue="10.9" maxValue="987765.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ENOVO" refreshedDate="46250.76007488426" createdVersion="6" refreshedVersion="6" minRefreshableVersion="3" recordCount="74">
  <cacheSource type="worksheet">
    <worksheetSource name="category_performance"/>
  </cacheSource>
  <cacheFields count="5">
    <cacheField name="product_category_name" numFmtId="0">
      <sharedItems count="74">
        <s v="beleza_saude"/>
        <s v="relogios_presentes"/>
        <s v="cama_mesa_banho"/>
        <s v="esporte_lazer"/>
        <s v="informatica_acessorios"/>
        <s v="moveis_decoracao"/>
        <s v="utilidades_domesticas"/>
        <s v="cool_stuff"/>
        <s v="automotivo"/>
        <s v="brinquedos"/>
        <s v="ferramentas_jardim"/>
        <s v="bebes"/>
        <s v="perfumaria"/>
        <s v="telefonia"/>
        <s v="moveis_escritorio"/>
        <s v="papelaria"/>
        <s v="pcs"/>
        <s v="pet_shop"/>
        <s v="instrumentos_musicais"/>
        <s v="eletroportateis"/>
        <s v="NULL"/>
        <s v="eletronicos"/>
        <s v="fashion_bolsas_e_acessorios"/>
        <s v="consoles_games"/>
        <s v="construcao_ferramentas_construcao"/>
        <s v="malas_acessorios"/>
        <s v="eletrodomesticos_2"/>
        <s v="casa_construcao"/>
        <s v="eletrodomesticos"/>
        <s v="agro_industria_e_comercio"/>
        <s v="moveis_sala"/>
        <s v="casa_conforto"/>
        <s v="telefonia_fixa"/>
        <s v="climatizacao"/>
        <s v="audio"/>
        <s v="portateis_casa_forno_e_cafe"/>
        <s v="moveis_cozinha_area_de_servico_jantar_e_jardim"/>
        <s v="livros_interesse_geral"/>
        <s v="construcao_ferramentas_iluminacao"/>
        <s v="construcao_ferramentas_seguranca"/>
        <s v="industria_comercio_e_negocios"/>
        <s v="alimentos"/>
        <s v="market_place"/>
        <s v="construcao_ferramentas_jardim"/>
        <s v="artes"/>
        <s v="fashion_calcados"/>
        <s v="bebidas"/>
        <s v="sinalizacao_e_seguranca"/>
        <s v="moveis_quarto"/>
        <s v="livros_tecnicos"/>
        <s v="construcao_ferramentas_ferramentas"/>
        <s v="alimentos_bebidas"/>
        <s v="fashion_roupa_masculina"/>
        <s v="fashion_underwear_e_moda_praia"/>
        <s v="artigos_de_natal"/>
        <s v="tablets_impressao_imagem"/>
        <s v="cine_foto"/>
        <s v="musica"/>
        <s v="dvds_blu_ray"/>
        <s v="artigos_de_festas"/>
        <s v="livros_importados"/>
        <s v="moveis_colchao_e_estofado"/>
        <s v="portateis_cozinha_e_preparadores_de_alimentos"/>
        <s v="fashion_roupa_feminina"/>
        <s v="fashion_esporte"/>
        <s v="la_cuisine"/>
        <s v="artes_e_artesanato"/>
        <s v="fraldas_higiene"/>
        <s v="pc_gamer"/>
        <s v="flores"/>
        <s v="casa_conforto_2"/>
        <s v="cds_dvds_musicais"/>
        <s v="fashion_roupa_infanto_juvenil"/>
        <s v="seguros_e_servicos"/>
      </sharedItems>
    </cacheField>
    <cacheField name="total_orders" numFmtId="0">
      <sharedItems containsSemiMixedTypes="0" containsString="0" containsNumber="1" containsInteger="1" minValue="2" maxValue="9272"/>
    </cacheField>
    <cacheField name="total_items_sold" numFmtId="0">
      <sharedItems containsSemiMixedTypes="0" containsString="0" containsNumber="1" containsInteger="1" minValue="2" maxValue="13485"/>
    </cacheField>
    <cacheField name="total_revenue" numFmtId="0">
      <sharedItems containsSemiMixedTypes="0" containsString="0" containsNumber="1" minValue="283.29000000000002" maxValue="1233131.72"/>
    </cacheField>
    <cacheField name="avg_price" numFmtId="0">
      <sharedItems containsSemiMixedTypes="0" containsString="0" containsNumber="1" minValue="25.34" maxValue="1098.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LENOVO" refreshedDate="46250.79579733796" createdVersion="6" refreshedVersion="6" minRefreshableVersion="3" recordCount="27">
  <cacheSource type="worksheet">
    <worksheetSource name="regional_revenue"/>
  </cacheSource>
  <cacheFields count="4">
    <cacheField name="customer_state" numFmtId="0">
      <sharedItems count="27">
        <s v="SP"/>
        <s v="RJ"/>
        <s v="MG"/>
        <s v="RS"/>
        <s v="PR"/>
        <s v="SC"/>
        <s v="BA"/>
        <s v="DF"/>
        <s v="GO"/>
        <s v="ES"/>
        <s v="PE"/>
        <s v="CE"/>
        <s v="PA"/>
        <s v="MT"/>
        <s v="MA"/>
        <s v="MS"/>
        <s v="PB"/>
        <s v="PI"/>
        <s v="RN"/>
        <s v="AL"/>
        <s v="SE"/>
        <s v="TO"/>
        <s v="RO"/>
        <s v="AM"/>
        <s v="AC"/>
        <s v="AP"/>
        <s v="RR"/>
      </sharedItems>
    </cacheField>
    <cacheField name="total_orders" numFmtId="0">
      <sharedItems containsSemiMixedTypes="0" containsString="0" containsNumber="1" containsInteger="1" minValue="41" maxValue="40501"/>
    </cacheField>
    <cacheField name="total_revenue" numFmtId="0">
      <sharedItems containsSemiMixedTypes="0" containsString="0" containsNumber="1" minValue="7057.47" maxValue="5067633.16"/>
    </cacheField>
    <cacheField name="avg_order_value" numFmtId="0">
      <sharedItems containsSemiMixedTypes="0" containsString="0" containsNumber="1" minValue="109.1" maxValue="192.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LENOVO" refreshedDate="46250.805666203705" createdVersion="6" refreshedVersion="6" minRefreshableVersion="3" recordCount="2">
  <cacheSource type="worksheet">
    <worksheetSource name="repeat_customers"/>
  </cacheSource>
  <cacheFields count="3">
    <cacheField name="customer_type" numFmtId="0">
      <sharedItems count="2">
        <s v="One-time Customer"/>
        <s v="Repeat Customer"/>
      </sharedItems>
    </cacheField>
    <cacheField name="total_customers" numFmtId="0">
      <sharedItems containsSemiMixedTypes="0" containsString="0" containsNumber="1" containsInteger="1" minValue="2801" maxValue="90557"/>
    </cacheField>
    <cacheField name="total_orders" numFmtId="0">
      <sharedItems containsSemiMixedTypes="0" containsString="0" containsNumber="1" containsInteger="1" minValue="5921" maxValue="905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">
  <r>
    <x v="0"/>
    <n v="1"/>
    <n v="134.97"/>
  </r>
  <r>
    <x v="1"/>
    <n v="265"/>
    <n v="40325.11"/>
  </r>
  <r>
    <x v="2"/>
    <n v="1"/>
    <n v="10.9"/>
  </r>
  <r>
    <x v="3"/>
    <n v="750"/>
    <n v="111798.36"/>
  </r>
  <r>
    <x v="4"/>
    <n v="1653"/>
    <n v="234223.4"/>
  </r>
  <r>
    <x v="5"/>
    <n v="2546"/>
    <n v="359198.85"/>
  </r>
  <r>
    <x v="6"/>
    <n v="2303"/>
    <n v="340669.68"/>
  </r>
  <r>
    <x v="7"/>
    <n v="3546"/>
    <n v="489338.25"/>
  </r>
  <r>
    <x v="8"/>
    <n v="3135"/>
    <n v="421923.37"/>
  </r>
  <r>
    <x v="9"/>
    <n v="3872"/>
    <n v="481604.52"/>
  </r>
  <r>
    <x v="10"/>
    <n v="4193"/>
    <n v="554699.69999999995"/>
  </r>
  <r>
    <x v="11"/>
    <n v="4150"/>
    <n v="607399.67000000004"/>
  </r>
  <r>
    <x v="12"/>
    <n v="4478"/>
    <n v="648247.65"/>
  </r>
  <r>
    <x v="13"/>
    <n v="7289"/>
    <n v="987765.37"/>
  </r>
  <r>
    <x v="14"/>
    <n v="5513"/>
    <n v="726033.19"/>
  </r>
  <r>
    <x v="15"/>
    <n v="7069"/>
    <n v="924645"/>
  </r>
  <r>
    <x v="16"/>
    <n v="6555"/>
    <n v="826437.13"/>
  </r>
  <r>
    <x v="17"/>
    <n v="7003"/>
    <n v="953356.25"/>
  </r>
  <r>
    <x v="18"/>
    <n v="6798"/>
    <n v="973534.09"/>
  </r>
  <r>
    <x v="19"/>
    <n v="6749"/>
    <n v="977544.69"/>
  </r>
  <r>
    <x v="20"/>
    <n v="6099"/>
    <n v="856077.86"/>
  </r>
  <r>
    <x v="21"/>
    <n v="6159"/>
    <n v="867953.46"/>
  </r>
  <r>
    <x v="22"/>
    <n v="6351"/>
    <n v="838576.640000000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4">
  <r>
    <x v="0"/>
    <n v="8647"/>
    <n v="10849"/>
    <n v="1233131.72"/>
    <n v="130.28"/>
  </r>
  <r>
    <x v="1"/>
    <n v="5495"/>
    <n v="6459"/>
    <n v="1166176.98"/>
    <n v="199.04"/>
  </r>
  <r>
    <x v="2"/>
    <n v="9272"/>
    <n v="13485"/>
    <n v="1023434.76"/>
    <n v="93.44"/>
  </r>
  <r>
    <x v="3"/>
    <n v="7530"/>
    <n v="9698"/>
    <n v="954852.55"/>
    <n v="113.25"/>
  </r>
  <r>
    <x v="4"/>
    <n v="6530"/>
    <n v="9650"/>
    <n v="888724.61"/>
    <n v="116.26"/>
  </r>
  <r>
    <x v="5"/>
    <n v="6307"/>
    <n v="11302"/>
    <n v="711927.69"/>
    <n v="87.25"/>
  </r>
  <r>
    <x v="6"/>
    <n v="5743"/>
    <n v="8831"/>
    <n v="615628.68999999994"/>
    <n v="90.6"/>
  </r>
  <r>
    <x v="7"/>
    <n v="3559"/>
    <n v="3993"/>
    <n v="610204.1"/>
    <n v="164.12"/>
  </r>
  <r>
    <x v="8"/>
    <n v="3810"/>
    <n v="4772"/>
    <n v="578966.65"/>
    <n v="139.85"/>
  </r>
  <r>
    <x v="9"/>
    <n v="3804"/>
    <n v="4353"/>
    <n v="471286.48"/>
    <n v="116.94"/>
  </r>
  <r>
    <x v="10"/>
    <n v="3448"/>
    <n v="5773"/>
    <n v="470495.28"/>
    <n v="110.24"/>
  </r>
  <r>
    <x v="11"/>
    <n v="2809"/>
    <n v="3331"/>
    <n v="400421.84"/>
    <n v="134.28"/>
  </r>
  <r>
    <x v="12"/>
    <n v="3086"/>
    <n v="3703"/>
    <n v="390144.65"/>
    <n v="116.81"/>
  </r>
  <r>
    <x v="13"/>
    <n v="4093"/>
    <n v="5034"/>
    <n v="309860.23"/>
    <n v="69.95"/>
  </r>
  <r>
    <x v="14"/>
    <n v="1254"/>
    <n v="2510"/>
    <n v="268154.31"/>
    <n v="160.76"/>
  </r>
  <r>
    <x v="15"/>
    <n v="2264"/>
    <n v="2750"/>
    <n v="223788.69"/>
    <n v="90.75"/>
  </r>
  <r>
    <x v="16"/>
    <n v="177"/>
    <n v="231"/>
    <n v="218684.14"/>
    <n v="1098.92"/>
  </r>
  <r>
    <x v="17"/>
    <n v="1688"/>
    <n v="2252"/>
    <n v="211695.64"/>
    <n v="110.03"/>
  </r>
  <r>
    <x v="18"/>
    <n v="611"/>
    <n v="706"/>
    <n v="184315.74"/>
    <n v="283.13"/>
  </r>
  <r>
    <x v="19"/>
    <n v="609"/>
    <n v="724"/>
    <n v="182754.12"/>
    <n v="277.74"/>
  </r>
  <r>
    <x v="20"/>
    <n v="1392"/>
    <n v="1796"/>
    <n v="170726.63"/>
    <n v="111.08"/>
  </r>
  <r>
    <x v="21"/>
    <n v="2517"/>
    <n v="3043"/>
    <n v="155043.93"/>
    <n v="56.81"/>
  </r>
  <r>
    <x v="22"/>
    <n v="1820"/>
    <n v="2219"/>
    <n v="149329.39000000001"/>
    <n v="75.23"/>
  </r>
  <r>
    <x v="23"/>
    <n v="1018"/>
    <n v="1193"/>
    <n v="148003.37"/>
    <n v="135.91"/>
  </r>
  <r>
    <x v="24"/>
    <n v="736"/>
    <n v="1275"/>
    <n v="142108.49"/>
    <n v="155.13999999999999"/>
  </r>
  <r>
    <x v="25"/>
    <n v="1019"/>
    <n v="1156"/>
    <n v="138701.63"/>
    <n v="128.79"/>
  </r>
  <r>
    <x v="26"/>
    <n v="227"/>
    <n v="236"/>
    <n v="107953.95"/>
    <n v="467.33"/>
  </r>
  <r>
    <x v="27"/>
    <n v="483"/>
    <n v="806"/>
    <n v="81407.570000000007"/>
    <n v="136.59"/>
  </r>
  <r>
    <x v="28"/>
    <n v="747"/>
    <n v="761"/>
    <n v="78832.479999999996"/>
    <n v="104.55"/>
  </r>
  <r>
    <x v="29"/>
    <n v="177"/>
    <n v="258"/>
    <n v="70566.100000000006"/>
    <n v="342.55"/>
  </r>
  <r>
    <x v="30"/>
    <n v="414"/>
    <n v="657"/>
    <n v="67350.7"/>
    <n v="136.06"/>
  </r>
  <r>
    <x v="31"/>
    <n v="392"/>
    <n v="508"/>
    <n v="58008.45"/>
    <n v="135.22"/>
  </r>
  <r>
    <x v="32"/>
    <n v="212"/>
    <n v="347"/>
    <n v="55315.21"/>
    <n v="216.92"/>
  </r>
  <r>
    <x v="33"/>
    <n v="246"/>
    <n v="353"/>
    <n v="53323.56"/>
    <n v="184.51"/>
  </r>
  <r>
    <x v="34"/>
    <n v="348"/>
    <n v="381"/>
    <n v="50570.6"/>
    <n v="139.69999999999999"/>
  </r>
  <r>
    <x v="35"/>
    <n v="72"/>
    <n v="74"/>
    <n v="46589.56"/>
    <n v="638.21"/>
  </r>
  <r>
    <x v="36"/>
    <n v="241"/>
    <n v="318"/>
    <n v="45531.98"/>
    <n v="166.18"/>
  </r>
  <r>
    <x v="37"/>
    <n v="496"/>
    <n v="593"/>
    <n v="45302.15"/>
    <n v="84.36"/>
  </r>
  <r>
    <x v="38"/>
    <n v="242"/>
    <n v="428"/>
    <n v="39957"/>
    <n v="132.75"/>
  </r>
  <r>
    <x v="39"/>
    <n v="159"/>
    <n v="235"/>
    <n v="38773.22"/>
    <n v="211.88"/>
  </r>
  <r>
    <x v="40"/>
    <n v="232"/>
    <n v="309"/>
    <n v="38498.81"/>
    <n v="145.28"/>
  </r>
  <r>
    <x v="41"/>
    <n v="441"/>
    <n v="595"/>
    <n v="28731.15"/>
    <n v="57.58"/>
  </r>
  <r>
    <x v="42"/>
    <n v="274"/>
    <n v="374"/>
    <n v="27795.77"/>
    <n v="91.13"/>
  </r>
  <r>
    <x v="43"/>
    <n v="190"/>
    <n v="296"/>
    <n v="25096.28"/>
    <n v="108.17"/>
  </r>
  <r>
    <x v="44"/>
    <n v="195"/>
    <n v="203"/>
    <n v="23657.3"/>
    <n v="120.09"/>
  </r>
  <r>
    <x v="45"/>
    <n v="235"/>
    <n v="288"/>
    <n v="23001.46"/>
    <n v="89.5"/>
  </r>
  <r>
    <x v="46"/>
    <n v="287"/>
    <n v="530"/>
    <n v="21529.84"/>
    <n v="59.64"/>
  </r>
  <r>
    <x v="47"/>
    <n v="138"/>
    <n v="305"/>
    <n v="21315.05"/>
    <n v="108.2"/>
  </r>
  <r>
    <x v="48"/>
    <n v="90"/>
    <n v="118"/>
    <n v="19051.8"/>
    <n v="184.97"/>
  </r>
  <r>
    <x v="49"/>
    <n v="256"/>
    <n v="271"/>
    <n v="18702.23"/>
    <n v="71.11"/>
  </r>
  <r>
    <x v="50"/>
    <n v="97"/>
    <n v="109"/>
    <n v="15903.95"/>
    <n v="154.41"/>
  </r>
  <r>
    <x v="51"/>
    <n v="221"/>
    <n v="350"/>
    <n v="14942.88"/>
    <n v="55.55"/>
  </r>
  <r>
    <x v="52"/>
    <n v="106"/>
    <n v="148"/>
    <n v="10452.33"/>
    <n v="83.62"/>
  </r>
  <r>
    <x v="53"/>
    <n v="117"/>
    <n v="143"/>
    <n v="9305.9500000000007"/>
    <n v="73.28"/>
  </r>
  <r>
    <x v="54"/>
    <n v="125"/>
    <n v="199"/>
    <n v="8737.84"/>
    <n v="58.25"/>
  </r>
  <r>
    <x v="55"/>
    <n v="79"/>
    <n v="89"/>
    <n v="7528.41"/>
    <n v="90.7"/>
  </r>
  <r>
    <x v="56"/>
    <n v="63"/>
    <n v="80"/>
    <n v="6674.47"/>
    <n v="95.35"/>
  </r>
  <r>
    <x v="57"/>
    <n v="38"/>
    <n v="39"/>
    <n v="6034.35"/>
    <n v="158.80000000000001"/>
  </r>
  <r>
    <x v="58"/>
    <n v="56"/>
    <n v="67"/>
    <n v="4542.59"/>
    <n v="74.47"/>
  </r>
  <r>
    <x v="59"/>
    <n v="38"/>
    <n v="46"/>
    <n v="4465.1899999999996"/>
    <n v="106.31"/>
  </r>
  <r>
    <x v="60"/>
    <n v="50"/>
    <n v="65"/>
    <n v="4418.8599999999997"/>
    <n v="77.52"/>
  </r>
  <r>
    <x v="61"/>
    <n v="37"/>
    <n v="37"/>
    <n v="4323.38"/>
    <n v="116.85"/>
  </r>
  <r>
    <x v="62"/>
    <n v="13"/>
    <n v="15"/>
    <n v="3933.63"/>
    <n v="280.97000000000003"/>
  </r>
  <r>
    <x v="63"/>
    <n v="36"/>
    <n v="63"/>
    <n v="2634.94"/>
    <n v="58.55"/>
  </r>
  <r>
    <x v="64"/>
    <n v="26"/>
    <n v="37"/>
    <n v="2094.52"/>
    <n v="72.22"/>
  </r>
  <r>
    <x v="65"/>
    <n v="13"/>
    <n v="16"/>
    <n v="2054.9899999999998"/>
    <n v="146.78"/>
  </r>
  <r>
    <x v="66"/>
    <n v="23"/>
    <n v="26"/>
    <n v="1814.01"/>
    <n v="75.58"/>
  </r>
  <r>
    <x v="67"/>
    <n v="25"/>
    <n v="64"/>
    <n v="1500.79"/>
    <n v="40.56"/>
  </r>
  <r>
    <x v="68"/>
    <n v="7"/>
    <n v="10"/>
    <n v="1306.95"/>
    <n v="163.37"/>
  </r>
  <r>
    <x v="69"/>
    <n v="29"/>
    <n v="37"/>
    <n v="1110.04"/>
    <n v="33.64"/>
  </r>
  <r>
    <x v="70"/>
    <n v="24"/>
    <n v="39"/>
    <n v="760.27"/>
    <n v="25.34"/>
  </r>
  <r>
    <x v="71"/>
    <n v="12"/>
    <n v="16"/>
    <n v="730"/>
    <n v="52.14"/>
  </r>
  <r>
    <x v="72"/>
    <n v="7"/>
    <n v="7"/>
    <n v="519.95000000000005"/>
    <n v="74.28"/>
  </r>
  <r>
    <x v="73"/>
    <n v="2"/>
    <n v="2"/>
    <n v="283.29000000000002"/>
    <n v="141.6399999999999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7">
  <r>
    <x v="0"/>
    <n v="40501"/>
    <n v="5067633.16"/>
    <n v="109.1"/>
  </r>
  <r>
    <x v="1"/>
    <n v="12350"/>
    <n v="1759651.13"/>
    <n v="124.42"/>
  </r>
  <r>
    <x v="2"/>
    <n v="11354"/>
    <n v="1552481.83"/>
    <n v="120.2"/>
  </r>
  <r>
    <x v="3"/>
    <n v="5345"/>
    <n v="728897.47"/>
    <n v="118.83"/>
  </r>
  <r>
    <x v="4"/>
    <n v="4923"/>
    <n v="666063.51"/>
    <n v="117.91"/>
  </r>
  <r>
    <x v="5"/>
    <n v="3546"/>
    <n v="507012.13"/>
    <n v="123.75"/>
  </r>
  <r>
    <x v="6"/>
    <n v="3256"/>
    <n v="493584.14"/>
    <n v="134.02000000000001"/>
  </r>
  <r>
    <x v="7"/>
    <n v="2080"/>
    <n v="296498.40999999997"/>
    <n v="125.9"/>
  </r>
  <r>
    <x v="8"/>
    <n v="1957"/>
    <n v="282836.7"/>
    <n v="124.21"/>
  </r>
  <r>
    <x v="9"/>
    <n v="1995"/>
    <n v="268643.45"/>
    <n v="120.74"/>
  </r>
  <r>
    <x v="10"/>
    <n v="1593"/>
    <n v="251889.49"/>
    <n v="144.27000000000001"/>
  </r>
  <r>
    <x v="11"/>
    <n v="1279"/>
    <n v="219757.38"/>
    <n v="154.11000000000001"/>
  </r>
  <r>
    <x v="12"/>
    <n v="946"/>
    <n v="174470.59"/>
    <n v="165.53"/>
  </r>
  <r>
    <x v="13"/>
    <n v="886"/>
    <n v="152191.62"/>
    <n v="146.76"/>
  </r>
  <r>
    <x v="14"/>
    <n v="717"/>
    <n v="117009.38"/>
    <n v="146.26"/>
  </r>
  <r>
    <x v="15"/>
    <n v="701"/>
    <n v="115429.97"/>
    <n v="142.33000000000001"/>
  </r>
  <r>
    <x v="16"/>
    <n v="517"/>
    <n v="112586.82"/>
    <n v="192.13"/>
  </r>
  <r>
    <x v="17"/>
    <n v="476"/>
    <n v="84721"/>
    <n v="161.99"/>
  </r>
  <r>
    <x v="18"/>
    <n v="474"/>
    <n v="82105.66"/>
    <n v="157.59"/>
  </r>
  <r>
    <x v="19"/>
    <n v="397"/>
    <n v="78855.72"/>
    <n v="184.67"/>
  </r>
  <r>
    <x v="20"/>
    <n v="335"/>
    <n v="56574.19"/>
    <n v="150.86000000000001"/>
  </r>
  <r>
    <x v="21"/>
    <n v="274"/>
    <n v="48402.51"/>
    <n v="156.13999999999999"/>
  </r>
  <r>
    <x v="22"/>
    <n v="243"/>
    <n v="45682.76"/>
    <n v="167.34"/>
  </r>
  <r>
    <x v="23"/>
    <n v="145"/>
    <n v="22155.84"/>
    <n v="135.93"/>
  </r>
  <r>
    <x v="24"/>
    <n v="80"/>
    <n v="15930.97"/>
    <n v="175.07"/>
  </r>
  <r>
    <x v="25"/>
    <n v="67"/>
    <n v="13374.81"/>
    <n v="165.12"/>
  </r>
  <r>
    <x v="26"/>
    <n v="41"/>
    <n v="7057.47"/>
    <n v="153.4199999999999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">
  <r>
    <x v="0"/>
    <n v="90557"/>
    <n v="90557"/>
  </r>
  <r>
    <x v="1"/>
    <n v="2801"/>
    <n v="59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:C27" firstHeaderRow="0" firstDataRow="1" firstDataCol="1"/>
  <pivotFields count="3">
    <pivotField axis="axisRow" numFmtId="14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showAll="0"/>
    <pivotField dataField="1"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orders" fld="1" baseField="0" baseItem="0"/>
    <dataField name="Sum of total_sales" fld="2" baseField="0" baseItem="0"/>
  </dataFields>
  <formats count="13">
    <format dxfId="76">
      <pivotArea type="all" dataOnly="0" outline="0" fieldPosition="0"/>
    </format>
    <format dxfId="75">
      <pivotArea outline="0" collapsedLevelsAreSubtotals="1" fieldPosition="0"/>
    </format>
    <format dxfId="74">
      <pivotArea field="0" type="button" dataOnly="0" labelOnly="1" outline="0" axis="axisRow" fieldPosition="0"/>
    </format>
    <format dxfId="73">
      <pivotArea dataOnly="0" labelOnly="1" fieldPosition="0">
        <references count="1">
          <reference field="0" count="0"/>
        </references>
      </pivotArea>
    </format>
    <format dxfId="72">
      <pivotArea dataOnly="0" labelOnly="1" grandRow="1" outline="0" fieldPosition="0"/>
    </format>
    <format dxfId="7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0">
      <pivotArea field="0" type="button" dataOnly="0" labelOnly="1" outline="0" axis="axisRow" fieldPosition="0"/>
    </format>
    <format dxfId="6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7">
      <pivotArea collapsedLevelsAreSubtotals="1" fieldPosition="0">
        <references count="1">
          <reference field="0" count="0"/>
        </references>
      </pivotArea>
    </format>
    <format dxfId="66">
      <pivotArea field="0" type="button" dataOnly="0" labelOnly="1" outline="0" axis="axisRow" fieldPosition="0"/>
    </format>
    <format dxfId="65">
      <pivotArea dataOnly="0" labelOnly="1" fieldPosition="0">
        <references count="1">
          <reference field="0" count="0"/>
        </references>
      </pivotArea>
    </format>
    <format dxfId="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3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>
  <location ref="A3:B78" firstHeaderRow="1" firstDataRow="1" firstDataCol="1"/>
  <pivotFields count="5">
    <pivotField axis="axisRow" showAll="0">
      <items count="75">
        <item x="29"/>
        <item x="41"/>
        <item x="51"/>
        <item x="44"/>
        <item x="66"/>
        <item x="59"/>
        <item x="54"/>
        <item x="34"/>
        <item x="8"/>
        <item x="11"/>
        <item x="46"/>
        <item x="0"/>
        <item x="9"/>
        <item x="2"/>
        <item x="31"/>
        <item x="70"/>
        <item x="27"/>
        <item x="71"/>
        <item x="56"/>
        <item x="33"/>
        <item x="23"/>
        <item x="24"/>
        <item x="50"/>
        <item x="38"/>
        <item x="43"/>
        <item x="39"/>
        <item x="7"/>
        <item x="58"/>
        <item x="28"/>
        <item x="26"/>
        <item x="21"/>
        <item x="19"/>
        <item x="3"/>
        <item x="22"/>
        <item x="45"/>
        <item x="64"/>
        <item x="63"/>
        <item x="72"/>
        <item x="52"/>
        <item x="53"/>
        <item x="10"/>
        <item x="69"/>
        <item x="67"/>
        <item x="40"/>
        <item x="4"/>
        <item x="18"/>
        <item x="65"/>
        <item x="60"/>
        <item x="37"/>
        <item x="49"/>
        <item x="25"/>
        <item x="42"/>
        <item x="61"/>
        <item x="36"/>
        <item x="5"/>
        <item x="14"/>
        <item x="48"/>
        <item x="30"/>
        <item x="57"/>
        <item x="20"/>
        <item x="15"/>
        <item x="68"/>
        <item x="16"/>
        <item x="12"/>
        <item x="17"/>
        <item x="35"/>
        <item x="62"/>
        <item x="1"/>
        <item x="73"/>
        <item x="47"/>
        <item x="55"/>
        <item x="13"/>
        <item x="32"/>
        <item x="6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rowItems>
  <colItems count="1">
    <i/>
  </colItems>
  <dataFields count="1">
    <dataField name="Sum of total_revenue" fld="3" baseField="0" baseItem="0"/>
  </dataFields>
  <formats count="19"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0" type="button" dataOnly="0" labelOnly="1" outline="0" axis="axisRow" fieldPosition="0"/>
    </format>
    <format dxfId="55">
      <pivotArea dataOnly="0" labelOnly="1" outline="0" axis="axisValues" fieldPosition="0"/>
    </format>
    <format dxfId="54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3">
      <pivotArea dataOnly="0" labelOnly="1" fieldPosition="0">
        <references count="1">
          <reference field="0" count="24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</reference>
        </references>
      </pivotArea>
    </format>
    <format dxfId="52">
      <pivotArea dataOnly="0" labelOnly="1" grandRow="1" outline="0" fieldPosition="0"/>
    </format>
    <format dxfId="51">
      <pivotArea dataOnly="0" labelOnly="1" outline="0" axis="axisValues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0" type="button" dataOnly="0" labelOnly="1" outline="0" axis="axisRow" fieldPosition="0"/>
    </format>
    <format dxfId="47">
      <pivotArea dataOnly="0" labelOnly="1" outline="0" axis="axisValues" fieldPosition="0"/>
    </format>
    <format dxfId="46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5">
      <pivotArea dataOnly="0" labelOnly="1" fieldPosition="0">
        <references count="1">
          <reference field="0" count="24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</reference>
        </references>
      </pivotArea>
    </format>
    <format dxfId="44">
      <pivotArea dataOnly="0" labelOnly="1" grandRow="1" outline="0" fieldPosition="0"/>
    </format>
    <format dxfId="43">
      <pivotArea dataOnly="0" labelOnly="1" outline="0" axis="axisValues" fieldPosition="0"/>
    </format>
    <format dxfId="42">
      <pivotArea field="0" type="button" dataOnly="0" labelOnly="1" outline="0" axis="axisRow" fieldPosition="0"/>
    </format>
    <format dxfId="41">
      <pivotArea dataOnly="0" labelOnly="1" outline="0" axis="axisValues" fieldPosition="0"/>
    </format>
    <format dxfId="40">
      <pivotArea dataOnly="0" labelOnly="1" outline="0" axis="axisValues" fieldPosition="0"/>
    </format>
  </formats>
  <chartFormats count="3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8">
  <location ref="E5:F16" firstHeaderRow="1" firstDataRow="1" firstDataCol="1"/>
  <pivotFields count="5">
    <pivotField axis="axisRow" showAll="0" measureFilter="1">
      <items count="75">
        <item x="29"/>
        <item x="41"/>
        <item x="51"/>
        <item x="44"/>
        <item x="66"/>
        <item x="59"/>
        <item x="54"/>
        <item x="34"/>
        <item x="8"/>
        <item x="11"/>
        <item x="46"/>
        <item x="0"/>
        <item x="9"/>
        <item x="2"/>
        <item x="31"/>
        <item x="70"/>
        <item x="27"/>
        <item x="71"/>
        <item x="56"/>
        <item x="33"/>
        <item x="23"/>
        <item x="24"/>
        <item x="50"/>
        <item x="38"/>
        <item x="43"/>
        <item x="39"/>
        <item x="7"/>
        <item x="58"/>
        <item x="28"/>
        <item x="26"/>
        <item x="21"/>
        <item x="19"/>
        <item x="3"/>
        <item x="22"/>
        <item x="45"/>
        <item x="64"/>
        <item x="63"/>
        <item x="72"/>
        <item x="52"/>
        <item x="53"/>
        <item x="10"/>
        <item x="69"/>
        <item x="67"/>
        <item x="40"/>
        <item x="4"/>
        <item x="18"/>
        <item x="65"/>
        <item x="60"/>
        <item x="37"/>
        <item x="49"/>
        <item x="25"/>
        <item x="42"/>
        <item x="61"/>
        <item x="36"/>
        <item x="5"/>
        <item x="14"/>
        <item x="48"/>
        <item x="30"/>
        <item x="57"/>
        <item x="20"/>
        <item x="15"/>
        <item x="68"/>
        <item x="16"/>
        <item x="12"/>
        <item x="17"/>
        <item x="35"/>
        <item x="62"/>
        <item x="1"/>
        <item x="73"/>
        <item x="47"/>
        <item x="55"/>
        <item x="13"/>
        <item x="32"/>
        <item x="6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11">
    <i>
      <x v="8"/>
    </i>
    <i>
      <x v="11"/>
    </i>
    <i>
      <x v="12"/>
    </i>
    <i>
      <x v="13"/>
    </i>
    <i>
      <x v="26"/>
    </i>
    <i>
      <x v="32"/>
    </i>
    <i>
      <x v="44"/>
    </i>
    <i>
      <x v="54"/>
    </i>
    <i>
      <x v="67"/>
    </i>
    <i>
      <x v="73"/>
    </i>
    <i t="grand">
      <x/>
    </i>
  </rowItems>
  <colItems count="1">
    <i/>
  </colItems>
  <dataFields count="1">
    <dataField name="Sum of total_revenue" fld="3" baseField="0" baseItem="0"/>
  </dataFields>
  <formats count="19">
    <format dxfId="21">
      <pivotArea type="all" dataOnly="0" outline="0" fieldPosition="0"/>
    </format>
    <format dxfId="22">
      <pivotArea outline="0" collapsedLevelsAreSubtotals="1" fieldPosition="0"/>
    </format>
    <format dxfId="23">
      <pivotArea field="0" type="button" dataOnly="0" labelOnly="1" outline="0" axis="axisRow" fieldPosition="0"/>
    </format>
    <format dxfId="24">
      <pivotArea dataOnly="0" labelOnly="1" outline="0" axis="axisValues" fieldPosition="0"/>
    </format>
    <format dxfId="25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6">
      <pivotArea dataOnly="0" labelOnly="1" fieldPosition="0">
        <references count="1">
          <reference field="0" count="24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</reference>
        </references>
      </pivotArea>
    </format>
    <format dxfId="27">
      <pivotArea dataOnly="0" labelOnly="1" grandRow="1" outline="0" fieldPosition="0"/>
    </format>
    <format dxfId="28">
      <pivotArea dataOnly="0" labelOnly="1" outline="0" axis="axisValues" fieldPosition="0"/>
    </format>
    <format dxfId="29">
      <pivotArea type="all" dataOnly="0" outline="0" fieldPosition="0"/>
    </format>
    <format dxfId="30">
      <pivotArea outline="0" collapsedLevelsAreSubtotals="1" fieldPosition="0"/>
    </format>
    <format dxfId="31">
      <pivotArea field="0" type="button" dataOnly="0" labelOnly="1" outline="0" axis="axisRow" fieldPosition="0"/>
    </format>
    <format dxfId="32">
      <pivotArea dataOnly="0" labelOnly="1" outline="0" axis="axisValues" fieldPosition="0"/>
    </format>
    <format dxfId="33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4">
      <pivotArea dataOnly="0" labelOnly="1" fieldPosition="0">
        <references count="1">
          <reference field="0" count="24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</reference>
        </references>
      </pivotArea>
    </format>
    <format dxfId="35">
      <pivotArea dataOnly="0" labelOnly="1" grandRow="1" outline="0" fieldPosition="0"/>
    </format>
    <format dxfId="36">
      <pivotArea dataOnly="0" labelOnly="1" outline="0" axis="axisValues" fieldPosition="0"/>
    </format>
    <format dxfId="37">
      <pivotArea field="0" type="button" dataOnly="0" labelOnly="1" outline="0" axis="axisRow" fieldPosition="0"/>
    </format>
    <format dxfId="38">
      <pivotArea dataOnly="0" labelOnly="1" outline="0" axis="axisValues" fieldPosition="0"/>
    </format>
    <format dxfId="39">
      <pivotArea dataOnly="0" labelOnly="1" outline="0" axis="axisValues" fieldPosition="0"/>
    </format>
  </formats>
  <chartFormats count="4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9">
  <location ref="A3:B31" firstHeaderRow="1" firstDataRow="1" firstDataCol="1"/>
  <pivotFields count="4">
    <pivotField axis="axisRow" showAll="0">
      <items count="28">
        <item x="24"/>
        <item x="19"/>
        <item x="23"/>
        <item x="25"/>
        <item x="6"/>
        <item x="11"/>
        <item x="7"/>
        <item x="9"/>
        <item x="8"/>
        <item x="14"/>
        <item x="2"/>
        <item x="15"/>
        <item x="13"/>
        <item x="12"/>
        <item x="16"/>
        <item x="10"/>
        <item x="17"/>
        <item x="4"/>
        <item x="1"/>
        <item x="18"/>
        <item x="22"/>
        <item x="26"/>
        <item x="3"/>
        <item x="5"/>
        <item x="20"/>
        <item x="0"/>
        <item x="21"/>
        <item t="default"/>
      </items>
    </pivotField>
    <pivotField showAll="0"/>
    <pivotField dataField="1" showAll="0"/>
    <pivotField showAl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um of total_revenue" fld="2" baseField="0" baseItem="0"/>
  </dataFields>
  <formats count="14"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0" type="button" dataOnly="0" labelOnly="1" outline="0" axis="axisRow" fieldPosition="0"/>
    </format>
    <format dxfId="13">
      <pivotArea dataOnly="0" labelOnly="1" outline="0" axis="axisValues" fieldPosition="0"/>
    </format>
    <format dxfId="12">
      <pivotArea dataOnly="0" labelOnly="1" fieldPosition="0">
        <references count="1">
          <reference field="0" count="0"/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0" type="button" dataOnly="0" labelOnly="1" outline="0" axis="axisRow" fieldPosition="0"/>
    </format>
    <format dxfId="6">
      <pivotArea dataOnly="0" labelOnly="1" outline="0" axis="axisValues" fieldPosition="0"/>
    </format>
    <format dxfId="5">
      <pivotArea dataOnly="0" labelOnly="1" fieldPosition="0">
        <references count="1">
          <reference field="0" count="0"/>
        </references>
      </pivotArea>
    </format>
    <format dxfId="4">
      <pivotArea dataOnly="0" labelOnly="1" grandRow="1" outline="0" fieldPosition="0"/>
    </format>
    <format dxfId="3">
      <pivotArea dataOnly="0" labelOnly="1" outline="0" axis="axisValues" fieldPosition="0"/>
    </format>
  </formats>
  <chartFormats count="1"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>
  <location ref="A3:B6" firstHeaderRow="1" firstDataRow="1" firstDataCol="1"/>
  <pivotFields count="3">
    <pivotField axis="axisRow" showAll="0">
      <items count="3">
        <item x="0"/>
        <item x="1"/>
        <item t="default"/>
      </items>
    </pivotField>
    <pivotField dataField="1"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total_customers" fld="1" baseField="0" baseItem="0"/>
  </dataFields>
  <chartFormats count="7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sales_month" tableColumnId="7"/>
      <queryTableField id="2" name="total_orders" tableColumnId="8"/>
      <queryTableField id="3" name="total_sales" tableColumnId="9"/>
    </queryTableFields>
  </queryTableRefresh>
</queryTable>
</file>

<file path=xl/queryTables/queryTable2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product_category_name" tableColumnId="11"/>
      <queryTableField id="2" name="total_orders" tableColumnId="12"/>
      <queryTableField id="3" name="total_items_sold" tableColumnId="13"/>
      <queryTableField id="4" name="total_revenue" tableColumnId="14"/>
      <queryTableField id="5" name="avg_price" tableColumnId="15"/>
    </queryTableFields>
  </queryTableRefresh>
</queryTable>
</file>

<file path=xl/queryTables/queryTable3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customer_state" tableColumnId="9"/>
      <queryTableField id="2" name="total_orders" tableColumnId="10"/>
      <queryTableField id="3" name="total_revenue" tableColumnId="11"/>
      <queryTableField id="4" name="avg_order_value" tableColumnId="12"/>
    </queryTableFields>
  </queryTableRefresh>
</queryTable>
</file>

<file path=xl/queryTables/queryTable4.xml><?xml version="1.0" encoding="utf-8"?>
<queryTable xmlns="http://schemas.openxmlformats.org/spreadsheetml/2006/main" name="ExternalData_1" connectionId="4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customer_type" tableColumnId="7"/>
      <queryTableField id="2" name="total_customers" tableColumnId="8"/>
      <queryTableField id="3" name="total_order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1" name="monthly_sales" displayName="monthly_sales" ref="A1:C24" tableType="queryTable" totalsRowShown="0">
  <autoFilter ref="A1:C24"/>
  <tableColumns count="3">
    <tableColumn id="7" uniqueName="7" name="sales_month" queryTableFieldId="1" dataDxfId="79"/>
    <tableColumn id="8" uniqueName="8" name="total_orders" queryTableFieldId="2" dataDxfId="78"/>
    <tableColumn id="9" uniqueName="9" name="total_sales" queryTableFieldId="3" dataDxfId="7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category_performance" displayName="category_performance" ref="A1:E75" tableType="queryTable" totalsRowShown="0">
  <autoFilter ref="A1:E75"/>
  <tableColumns count="5">
    <tableColumn id="11" uniqueName="11" name="product_category_name" queryTableFieldId="1" dataDxfId="63"/>
    <tableColumn id="12" uniqueName="12" name="total_orders" queryTableFieldId="2" dataDxfId="62"/>
    <tableColumn id="13" uniqueName="13" name="total_items_sold" queryTableFieldId="3" dataDxfId="61"/>
    <tableColumn id="14" uniqueName="14" name="total_revenue" queryTableFieldId="4" dataDxfId="60"/>
    <tableColumn id="15" uniqueName="15" name="avg_price" queryTableFieldId="5" dataDxfId="5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regional_revenue" displayName="regional_revenue" ref="A1:D28" tableType="queryTable" totalsRowShown="0">
  <autoFilter ref="A1:D28"/>
  <sortState ref="A2:D28">
    <sortCondition descending="1" ref="C1:C28"/>
  </sortState>
  <tableColumns count="4">
    <tableColumn id="9" uniqueName="9" name="customer_state" queryTableFieldId="1" dataDxfId="20"/>
    <tableColumn id="10" uniqueName="10" name="total_orders" queryTableFieldId="2" dataDxfId="19"/>
    <tableColumn id="11" uniqueName="11" name="total_revenue" queryTableFieldId="3" dataDxfId="18"/>
    <tableColumn id="12" uniqueName="12" name="avg_order_value" queryTableFieldId="4" dataDxfId="1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repeat_customers" displayName="repeat_customers" ref="A1:C3" tableType="queryTable" totalsRowShown="0">
  <autoFilter ref="A1:C3"/>
  <tableColumns count="3">
    <tableColumn id="7" uniqueName="7" name="customer_type" queryTableFieldId="1" dataDxfId="2"/>
    <tableColumn id="8" uniqueName="8" name="total_customers" queryTableFieldId="2" dataDxfId="1"/>
    <tableColumn id="9" uniqueName="9" name="total_orders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selection activeCell="F16" sqref="F16"/>
    </sheetView>
  </sheetViews>
  <sheetFormatPr defaultRowHeight="14.5" x14ac:dyDescent="0.35"/>
  <cols>
    <col min="1" max="1" width="13.81640625" bestFit="1" customWidth="1"/>
    <col min="2" max="2" width="13.54296875" bestFit="1" customWidth="1"/>
    <col min="3" max="3" width="12.17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42614</v>
      </c>
      <c r="B2" s="1">
        <v>1</v>
      </c>
      <c r="C2" s="1">
        <v>134.97</v>
      </c>
    </row>
    <row r="3" spans="1:3" x14ac:dyDescent="0.35">
      <c r="A3" s="2">
        <v>42644</v>
      </c>
      <c r="B3" s="1">
        <v>265</v>
      </c>
      <c r="C3" s="1">
        <v>40325.11</v>
      </c>
    </row>
    <row r="4" spans="1:3" x14ac:dyDescent="0.35">
      <c r="A4" s="2">
        <v>42705</v>
      </c>
      <c r="B4" s="1">
        <v>1</v>
      </c>
      <c r="C4" s="1">
        <v>10.9</v>
      </c>
    </row>
    <row r="5" spans="1:3" x14ac:dyDescent="0.35">
      <c r="A5" s="2">
        <v>42736</v>
      </c>
      <c r="B5" s="1">
        <v>750</v>
      </c>
      <c r="C5" s="1">
        <v>111798.36</v>
      </c>
    </row>
    <row r="6" spans="1:3" x14ac:dyDescent="0.35">
      <c r="A6" s="2">
        <v>42767</v>
      </c>
      <c r="B6" s="1">
        <v>1653</v>
      </c>
      <c r="C6" s="1">
        <v>234223.4</v>
      </c>
    </row>
    <row r="7" spans="1:3" x14ac:dyDescent="0.35">
      <c r="A7" s="2">
        <v>42795</v>
      </c>
      <c r="B7" s="1">
        <v>2546</v>
      </c>
      <c r="C7" s="1">
        <v>359198.85</v>
      </c>
    </row>
    <row r="8" spans="1:3" x14ac:dyDescent="0.35">
      <c r="A8" s="2">
        <v>42826</v>
      </c>
      <c r="B8" s="1">
        <v>2303</v>
      </c>
      <c r="C8" s="1">
        <v>340669.68</v>
      </c>
    </row>
    <row r="9" spans="1:3" x14ac:dyDescent="0.35">
      <c r="A9" s="2">
        <v>42856</v>
      </c>
      <c r="B9" s="1">
        <v>3546</v>
      </c>
      <c r="C9" s="1">
        <v>489338.25</v>
      </c>
    </row>
    <row r="10" spans="1:3" x14ac:dyDescent="0.35">
      <c r="A10" s="2">
        <v>42887</v>
      </c>
      <c r="B10" s="1">
        <v>3135</v>
      </c>
      <c r="C10" s="1">
        <v>421923.37</v>
      </c>
    </row>
    <row r="11" spans="1:3" x14ac:dyDescent="0.35">
      <c r="A11" s="2">
        <v>42917</v>
      </c>
      <c r="B11" s="1">
        <v>3872</v>
      </c>
      <c r="C11" s="1">
        <v>481604.52</v>
      </c>
    </row>
    <row r="12" spans="1:3" x14ac:dyDescent="0.35">
      <c r="A12" s="2">
        <v>42948</v>
      </c>
      <c r="B12" s="1">
        <v>4193</v>
      </c>
      <c r="C12" s="1">
        <v>554699.69999999995</v>
      </c>
    </row>
    <row r="13" spans="1:3" x14ac:dyDescent="0.35">
      <c r="A13" s="2">
        <v>42979</v>
      </c>
      <c r="B13" s="1">
        <v>4150</v>
      </c>
      <c r="C13" s="1">
        <v>607399.67000000004</v>
      </c>
    </row>
    <row r="14" spans="1:3" x14ac:dyDescent="0.35">
      <c r="A14" s="2">
        <v>43009</v>
      </c>
      <c r="B14" s="1">
        <v>4478</v>
      </c>
      <c r="C14" s="1">
        <v>648247.65</v>
      </c>
    </row>
    <row r="15" spans="1:3" x14ac:dyDescent="0.35">
      <c r="A15" s="2">
        <v>43040</v>
      </c>
      <c r="B15" s="1">
        <v>7289</v>
      </c>
      <c r="C15" s="1">
        <v>987765.37</v>
      </c>
    </row>
    <row r="16" spans="1:3" x14ac:dyDescent="0.35">
      <c r="A16" s="2">
        <v>43070</v>
      </c>
      <c r="B16" s="1">
        <v>5513</v>
      </c>
      <c r="C16" s="1">
        <v>726033.19</v>
      </c>
    </row>
    <row r="17" spans="1:3" x14ac:dyDescent="0.35">
      <c r="A17" s="2">
        <v>43101</v>
      </c>
      <c r="B17" s="1">
        <v>7069</v>
      </c>
      <c r="C17" s="1">
        <v>924645</v>
      </c>
    </row>
    <row r="18" spans="1:3" x14ac:dyDescent="0.35">
      <c r="A18" s="2">
        <v>43132</v>
      </c>
      <c r="B18" s="1">
        <v>6555</v>
      </c>
      <c r="C18" s="1">
        <v>826437.13</v>
      </c>
    </row>
    <row r="19" spans="1:3" x14ac:dyDescent="0.35">
      <c r="A19" s="2">
        <v>43160</v>
      </c>
      <c r="B19" s="1">
        <v>7003</v>
      </c>
      <c r="C19" s="1">
        <v>953356.25</v>
      </c>
    </row>
    <row r="20" spans="1:3" x14ac:dyDescent="0.35">
      <c r="A20" s="2">
        <v>43191</v>
      </c>
      <c r="B20" s="1">
        <v>6798</v>
      </c>
      <c r="C20" s="1">
        <v>973534.09</v>
      </c>
    </row>
    <row r="21" spans="1:3" x14ac:dyDescent="0.35">
      <c r="A21" s="2">
        <v>43221</v>
      </c>
      <c r="B21" s="1">
        <v>6749</v>
      </c>
      <c r="C21" s="1">
        <v>977544.69</v>
      </c>
    </row>
    <row r="22" spans="1:3" x14ac:dyDescent="0.35">
      <c r="A22" s="2">
        <v>43252</v>
      </c>
      <c r="B22" s="1">
        <v>6099</v>
      </c>
      <c r="C22" s="1">
        <v>856077.86</v>
      </c>
    </row>
    <row r="23" spans="1:3" x14ac:dyDescent="0.35">
      <c r="A23" s="2">
        <v>43282</v>
      </c>
      <c r="B23" s="1">
        <v>6159</v>
      </c>
      <c r="C23" s="1">
        <v>867953.46</v>
      </c>
    </row>
    <row r="24" spans="1:3" x14ac:dyDescent="0.35">
      <c r="A24" s="2">
        <v>43313</v>
      </c>
      <c r="B24" s="1">
        <v>6351</v>
      </c>
      <c r="C24" s="1">
        <v>838576.64000000001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7"/>
  <sheetViews>
    <sheetView zoomScale="91" workbookViewId="0">
      <selection activeCell="N16" sqref="N16"/>
    </sheetView>
  </sheetViews>
  <sheetFormatPr defaultRowHeight="14.5" x14ac:dyDescent="0.35"/>
  <cols>
    <col min="1" max="1" width="12.36328125" bestFit="1" customWidth="1"/>
    <col min="2" max="2" width="17.7265625" bestFit="1" customWidth="1"/>
    <col min="3" max="3" width="20.6328125" bestFit="1" customWidth="1"/>
  </cols>
  <sheetData>
    <row r="3" spans="1:3" ht="18.5" x14ac:dyDescent="0.45">
      <c r="A3" s="5" t="s">
        <v>3</v>
      </c>
      <c r="B3" s="5" t="s">
        <v>5</v>
      </c>
      <c r="C3" s="5" t="s">
        <v>6</v>
      </c>
    </row>
    <row r="4" spans="1:3" x14ac:dyDescent="0.35">
      <c r="A4" s="6">
        <v>42614</v>
      </c>
      <c r="B4" s="7">
        <v>1</v>
      </c>
      <c r="C4" s="7">
        <v>134.97</v>
      </c>
    </row>
    <row r="5" spans="1:3" x14ac:dyDescent="0.35">
      <c r="A5" s="6">
        <v>42644</v>
      </c>
      <c r="B5" s="7">
        <v>265</v>
      </c>
      <c r="C5" s="7">
        <v>40325.11</v>
      </c>
    </row>
    <row r="6" spans="1:3" x14ac:dyDescent="0.35">
      <c r="A6" s="6">
        <v>42705</v>
      </c>
      <c r="B6" s="7">
        <v>1</v>
      </c>
      <c r="C6" s="7">
        <v>10.9</v>
      </c>
    </row>
    <row r="7" spans="1:3" x14ac:dyDescent="0.35">
      <c r="A7" s="6">
        <v>42736</v>
      </c>
      <c r="B7" s="7">
        <v>750</v>
      </c>
      <c r="C7" s="7">
        <v>111798.36</v>
      </c>
    </row>
    <row r="8" spans="1:3" x14ac:dyDescent="0.35">
      <c r="A8" s="6">
        <v>42767</v>
      </c>
      <c r="B8" s="7">
        <v>1653</v>
      </c>
      <c r="C8" s="7">
        <v>234223.4</v>
      </c>
    </row>
    <row r="9" spans="1:3" x14ac:dyDescent="0.35">
      <c r="A9" s="6">
        <v>42795</v>
      </c>
      <c r="B9" s="7">
        <v>2546</v>
      </c>
      <c r="C9" s="7">
        <v>359198.85</v>
      </c>
    </row>
    <row r="10" spans="1:3" x14ac:dyDescent="0.35">
      <c r="A10" s="6">
        <v>42826</v>
      </c>
      <c r="B10" s="7">
        <v>2303</v>
      </c>
      <c r="C10" s="7">
        <v>340669.68</v>
      </c>
    </row>
    <row r="11" spans="1:3" x14ac:dyDescent="0.35">
      <c r="A11" s="6">
        <v>42856</v>
      </c>
      <c r="B11" s="7">
        <v>3546</v>
      </c>
      <c r="C11" s="7">
        <v>489338.25</v>
      </c>
    </row>
    <row r="12" spans="1:3" x14ac:dyDescent="0.35">
      <c r="A12" s="6">
        <v>42887</v>
      </c>
      <c r="B12" s="7">
        <v>3135</v>
      </c>
      <c r="C12" s="7">
        <v>421923.37</v>
      </c>
    </row>
    <row r="13" spans="1:3" x14ac:dyDescent="0.35">
      <c r="A13" s="6">
        <v>42917</v>
      </c>
      <c r="B13" s="7">
        <v>3872</v>
      </c>
      <c r="C13" s="7">
        <v>481604.52</v>
      </c>
    </row>
    <row r="14" spans="1:3" x14ac:dyDescent="0.35">
      <c r="A14" s="6">
        <v>42948</v>
      </c>
      <c r="B14" s="7">
        <v>4193</v>
      </c>
      <c r="C14" s="7">
        <v>554699.69999999995</v>
      </c>
    </row>
    <row r="15" spans="1:3" x14ac:dyDescent="0.35">
      <c r="A15" s="6">
        <v>42979</v>
      </c>
      <c r="B15" s="7">
        <v>4150</v>
      </c>
      <c r="C15" s="7">
        <v>607399.67000000004</v>
      </c>
    </row>
    <row r="16" spans="1:3" x14ac:dyDescent="0.35">
      <c r="A16" s="6">
        <v>43009</v>
      </c>
      <c r="B16" s="7">
        <v>4478</v>
      </c>
      <c r="C16" s="7">
        <v>648247.65</v>
      </c>
    </row>
    <row r="17" spans="1:3" x14ac:dyDescent="0.35">
      <c r="A17" s="6">
        <v>43040</v>
      </c>
      <c r="B17" s="7">
        <v>7289</v>
      </c>
      <c r="C17" s="7">
        <v>987765.37</v>
      </c>
    </row>
    <row r="18" spans="1:3" x14ac:dyDescent="0.35">
      <c r="A18" s="6">
        <v>43070</v>
      </c>
      <c r="B18" s="7">
        <v>5513</v>
      </c>
      <c r="C18" s="7">
        <v>726033.19</v>
      </c>
    </row>
    <row r="19" spans="1:3" x14ac:dyDescent="0.35">
      <c r="A19" s="6">
        <v>43101</v>
      </c>
      <c r="B19" s="7">
        <v>7069</v>
      </c>
      <c r="C19" s="7">
        <v>924645</v>
      </c>
    </row>
    <row r="20" spans="1:3" x14ac:dyDescent="0.35">
      <c r="A20" s="6">
        <v>43132</v>
      </c>
      <c r="B20" s="7">
        <v>6555</v>
      </c>
      <c r="C20" s="7">
        <v>826437.13</v>
      </c>
    </row>
    <row r="21" spans="1:3" x14ac:dyDescent="0.35">
      <c r="A21" s="6">
        <v>43160</v>
      </c>
      <c r="B21" s="7">
        <v>7003</v>
      </c>
      <c r="C21" s="7">
        <v>953356.25</v>
      </c>
    </row>
    <row r="22" spans="1:3" x14ac:dyDescent="0.35">
      <c r="A22" s="6">
        <v>43191</v>
      </c>
      <c r="B22" s="7">
        <v>6798</v>
      </c>
      <c r="C22" s="7">
        <v>973534.09</v>
      </c>
    </row>
    <row r="23" spans="1:3" x14ac:dyDescent="0.35">
      <c r="A23" s="6">
        <v>43221</v>
      </c>
      <c r="B23" s="7">
        <v>6749</v>
      </c>
      <c r="C23" s="7">
        <v>977544.69</v>
      </c>
    </row>
    <row r="24" spans="1:3" x14ac:dyDescent="0.35">
      <c r="A24" s="6">
        <v>43252</v>
      </c>
      <c r="B24" s="7">
        <v>6099</v>
      </c>
      <c r="C24" s="7">
        <v>856077.86</v>
      </c>
    </row>
    <row r="25" spans="1:3" x14ac:dyDescent="0.35">
      <c r="A25" s="6">
        <v>43282</v>
      </c>
      <c r="B25" s="7">
        <v>6159</v>
      </c>
      <c r="C25" s="7">
        <v>867953.46</v>
      </c>
    </row>
    <row r="26" spans="1:3" x14ac:dyDescent="0.35">
      <c r="A26" s="6">
        <v>43313</v>
      </c>
      <c r="B26" s="7">
        <v>6351</v>
      </c>
      <c r="C26" s="7">
        <v>838576.64000000001</v>
      </c>
    </row>
    <row r="27" spans="1:3" x14ac:dyDescent="0.35">
      <c r="A27" s="3" t="s">
        <v>4</v>
      </c>
      <c r="B27" s="4">
        <v>96478</v>
      </c>
      <c r="C27" s="4">
        <v>13221498.109999999</v>
      </c>
    </row>
  </sheetData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Views>
    <sheetView topLeftCell="A5" workbookViewId="0">
      <selection activeCell="G7" sqref="G7"/>
    </sheetView>
  </sheetViews>
  <sheetFormatPr defaultRowHeight="14.5" x14ac:dyDescent="0.35"/>
  <cols>
    <col min="1" max="1" width="43.7265625" bestFit="1" customWidth="1"/>
    <col min="2" max="2" width="13.54296875" bestFit="1" customWidth="1"/>
    <col min="3" max="3" width="17.26953125" bestFit="1" customWidth="1"/>
    <col min="4" max="4" width="14.90625" bestFit="1" customWidth="1"/>
    <col min="5" max="5" width="11" bestFit="1" customWidth="1"/>
  </cols>
  <sheetData>
    <row r="1" spans="1:5" x14ac:dyDescent="0.35">
      <c r="A1" s="1" t="s">
        <v>7</v>
      </c>
      <c r="B1" s="1" t="s">
        <v>1</v>
      </c>
      <c r="C1" s="1" t="s">
        <v>8</v>
      </c>
      <c r="D1" s="1" t="s">
        <v>9</v>
      </c>
      <c r="E1" s="1" t="s">
        <v>10</v>
      </c>
    </row>
    <row r="2" spans="1:5" x14ac:dyDescent="0.35">
      <c r="A2" s="1" t="s">
        <v>11</v>
      </c>
      <c r="B2" s="1">
        <v>8647</v>
      </c>
      <c r="C2" s="1">
        <v>10849</v>
      </c>
      <c r="D2" s="1">
        <v>1233131.72</v>
      </c>
      <c r="E2" s="1">
        <v>130.28</v>
      </c>
    </row>
    <row r="3" spans="1:5" x14ac:dyDescent="0.35">
      <c r="A3" s="1" t="s">
        <v>12</v>
      </c>
      <c r="B3" s="1">
        <v>5495</v>
      </c>
      <c r="C3" s="1">
        <v>6459</v>
      </c>
      <c r="D3" s="1">
        <v>1166176.98</v>
      </c>
      <c r="E3" s="1">
        <v>199.04</v>
      </c>
    </row>
    <row r="4" spans="1:5" x14ac:dyDescent="0.35">
      <c r="A4" s="1" t="s">
        <v>13</v>
      </c>
      <c r="B4" s="1">
        <v>9272</v>
      </c>
      <c r="C4" s="1">
        <v>13485</v>
      </c>
      <c r="D4" s="1">
        <v>1023434.76</v>
      </c>
      <c r="E4" s="1">
        <v>93.44</v>
      </c>
    </row>
    <row r="5" spans="1:5" x14ac:dyDescent="0.35">
      <c r="A5" s="1" t="s">
        <v>14</v>
      </c>
      <c r="B5" s="1">
        <v>7530</v>
      </c>
      <c r="C5" s="1">
        <v>9698</v>
      </c>
      <c r="D5" s="1">
        <v>954852.55</v>
      </c>
      <c r="E5" s="1">
        <v>113.25</v>
      </c>
    </row>
    <row r="6" spans="1:5" x14ac:dyDescent="0.35">
      <c r="A6" s="1" t="s">
        <v>15</v>
      </c>
      <c r="B6" s="1">
        <v>6530</v>
      </c>
      <c r="C6" s="1">
        <v>9650</v>
      </c>
      <c r="D6" s="1">
        <v>888724.61</v>
      </c>
      <c r="E6" s="1">
        <v>116.26</v>
      </c>
    </row>
    <row r="7" spans="1:5" x14ac:dyDescent="0.35">
      <c r="A7" s="1" t="s">
        <v>16</v>
      </c>
      <c r="B7" s="1">
        <v>6307</v>
      </c>
      <c r="C7" s="1">
        <v>11302</v>
      </c>
      <c r="D7" s="1">
        <v>711927.69</v>
      </c>
      <c r="E7" s="1">
        <v>87.25</v>
      </c>
    </row>
    <row r="8" spans="1:5" x14ac:dyDescent="0.35">
      <c r="A8" s="1" t="s">
        <v>17</v>
      </c>
      <c r="B8" s="1">
        <v>5743</v>
      </c>
      <c r="C8" s="1">
        <v>8831</v>
      </c>
      <c r="D8" s="1">
        <v>615628.68999999994</v>
      </c>
      <c r="E8" s="1">
        <v>90.6</v>
      </c>
    </row>
    <row r="9" spans="1:5" x14ac:dyDescent="0.35">
      <c r="A9" s="1" t="s">
        <v>18</v>
      </c>
      <c r="B9" s="1">
        <v>3559</v>
      </c>
      <c r="C9" s="1">
        <v>3993</v>
      </c>
      <c r="D9" s="1">
        <v>610204.1</v>
      </c>
      <c r="E9" s="1">
        <v>164.12</v>
      </c>
    </row>
    <row r="10" spans="1:5" x14ac:dyDescent="0.35">
      <c r="A10" s="1" t="s">
        <v>19</v>
      </c>
      <c r="B10" s="1">
        <v>3810</v>
      </c>
      <c r="C10" s="1">
        <v>4772</v>
      </c>
      <c r="D10" s="1">
        <v>578966.65</v>
      </c>
      <c r="E10" s="1">
        <v>139.85</v>
      </c>
    </row>
    <row r="11" spans="1:5" x14ac:dyDescent="0.35">
      <c r="A11" s="1" t="s">
        <v>20</v>
      </c>
      <c r="B11" s="1">
        <v>3804</v>
      </c>
      <c r="C11" s="1">
        <v>4353</v>
      </c>
      <c r="D11" s="1">
        <v>471286.48</v>
      </c>
      <c r="E11" s="1">
        <v>116.94</v>
      </c>
    </row>
    <row r="12" spans="1:5" x14ac:dyDescent="0.35">
      <c r="A12" s="1" t="s">
        <v>21</v>
      </c>
      <c r="B12" s="1">
        <v>3448</v>
      </c>
      <c r="C12" s="1">
        <v>5773</v>
      </c>
      <c r="D12" s="1">
        <v>470495.28</v>
      </c>
      <c r="E12" s="1">
        <v>110.24</v>
      </c>
    </row>
    <row r="13" spans="1:5" x14ac:dyDescent="0.35">
      <c r="A13" s="1" t="s">
        <v>22</v>
      </c>
      <c r="B13" s="1">
        <v>2809</v>
      </c>
      <c r="C13" s="1">
        <v>3331</v>
      </c>
      <c r="D13" s="1">
        <v>400421.84</v>
      </c>
      <c r="E13" s="1">
        <v>134.28</v>
      </c>
    </row>
    <row r="14" spans="1:5" x14ac:dyDescent="0.35">
      <c r="A14" s="1" t="s">
        <v>23</v>
      </c>
      <c r="B14" s="1">
        <v>3086</v>
      </c>
      <c r="C14" s="1">
        <v>3703</v>
      </c>
      <c r="D14" s="1">
        <v>390144.65</v>
      </c>
      <c r="E14" s="1">
        <v>116.81</v>
      </c>
    </row>
    <row r="15" spans="1:5" x14ac:dyDescent="0.35">
      <c r="A15" s="1" t="s">
        <v>24</v>
      </c>
      <c r="B15" s="1">
        <v>4093</v>
      </c>
      <c r="C15" s="1">
        <v>5034</v>
      </c>
      <c r="D15" s="1">
        <v>309860.23</v>
      </c>
      <c r="E15" s="1">
        <v>69.95</v>
      </c>
    </row>
    <row r="16" spans="1:5" x14ac:dyDescent="0.35">
      <c r="A16" s="1" t="s">
        <v>25</v>
      </c>
      <c r="B16" s="1">
        <v>1254</v>
      </c>
      <c r="C16" s="1">
        <v>2510</v>
      </c>
      <c r="D16" s="1">
        <v>268154.31</v>
      </c>
      <c r="E16" s="1">
        <v>160.76</v>
      </c>
    </row>
    <row r="17" spans="1:5" x14ac:dyDescent="0.35">
      <c r="A17" s="1" t="s">
        <v>26</v>
      </c>
      <c r="B17" s="1">
        <v>2264</v>
      </c>
      <c r="C17" s="1">
        <v>2750</v>
      </c>
      <c r="D17" s="1">
        <v>223788.69</v>
      </c>
      <c r="E17" s="1">
        <v>90.75</v>
      </c>
    </row>
    <row r="18" spans="1:5" x14ac:dyDescent="0.35">
      <c r="A18" s="1" t="s">
        <v>27</v>
      </c>
      <c r="B18" s="1">
        <v>177</v>
      </c>
      <c r="C18" s="1">
        <v>231</v>
      </c>
      <c r="D18" s="1">
        <v>218684.14</v>
      </c>
      <c r="E18" s="1">
        <v>1098.92</v>
      </c>
    </row>
    <row r="19" spans="1:5" x14ac:dyDescent="0.35">
      <c r="A19" s="1" t="s">
        <v>28</v>
      </c>
      <c r="B19" s="1">
        <v>1688</v>
      </c>
      <c r="C19" s="1">
        <v>2252</v>
      </c>
      <c r="D19" s="1">
        <v>211695.64</v>
      </c>
      <c r="E19" s="1">
        <v>110.03</v>
      </c>
    </row>
    <row r="20" spans="1:5" x14ac:dyDescent="0.35">
      <c r="A20" s="1" t="s">
        <v>29</v>
      </c>
      <c r="B20" s="1">
        <v>611</v>
      </c>
      <c r="C20" s="1">
        <v>706</v>
      </c>
      <c r="D20" s="1">
        <v>184315.74</v>
      </c>
      <c r="E20" s="1">
        <v>283.13</v>
      </c>
    </row>
    <row r="21" spans="1:5" x14ac:dyDescent="0.35">
      <c r="A21" s="1" t="s">
        <v>30</v>
      </c>
      <c r="B21" s="1">
        <v>609</v>
      </c>
      <c r="C21" s="1">
        <v>724</v>
      </c>
      <c r="D21" s="1">
        <v>182754.12</v>
      </c>
      <c r="E21" s="1">
        <v>277.74</v>
      </c>
    </row>
    <row r="22" spans="1:5" x14ac:dyDescent="0.35">
      <c r="A22" s="1" t="s">
        <v>31</v>
      </c>
      <c r="B22" s="1">
        <v>1392</v>
      </c>
      <c r="C22" s="1">
        <v>1796</v>
      </c>
      <c r="D22" s="1">
        <v>170726.63</v>
      </c>
      <c r="E22" s="1">
        <v>111.08</v>
      </c>
    </row>
    <row r="23" spans="1:5" x14ac:dyDescent="0.35">
      <c r="A23" s="1" t="s">
        <v>32</v>
      </c>
      <c r="B23" s="1">
        <v>2517</v>
      </c>
      <c r="C23" s="1">
        <v>3043</v>
      </c>
      <c r="D23" s="1">
        <v>155043.93</v>
      </c>
      <c r="E23" s="1">
        <v>56.81</v>
      </c>
    </row>
    <row r="24" spans="1:5" x14ac:dyDescent="0.35">
      <c r="A24" s="1" t="s">
        <v>33</v>
      </c>
      <c r="B24" s="1">
        <v>1820</v>
      </c>
      <c r="C24" s="1">
        <v>2219</v>
      </c>
      <c r="D24" s="1">
        <v>149329.39000000001</v>
      </c>
      <c r="E24" s="1">
        <v>75.23</v>
      </c>
    </row>
    <row r="25" spans="1:5" x14ac:dyDescent="0.35">
      <c r="A25" s="1" t="s">
        <v>34</v>
      </c>
      <c r="B25" s="1">
        <v>1018</v>
      </c>
      <c r="C25" s="1">
        <v>1193</v>
      </c>
      <c r="D25" s="1">
        <v>148003.37</v>
      </c>
      <c r="E25" s="1">
        <v>135.91</v>
      </c>
    </row>
    <row r="26" spans="1:5" x14ac:dyDescent="0.35">
      <c r="A26" s="1" t="s">
        <v>35</v>
      </c>
      <c r="B26" s="1">
        <v>736</v>
      </c>
      <c r="C26" s="1">
        <v>1275</v>
      </c>
      <c r="D26" s="1">
        <v>142108.49</v>
      </c>
      <c r="E26" s="1">
        <v>155.13999999999999</v>
      </c>
    </row>
    <row r="27" spans="1:5" x14ac:dyDescent="0.35">
      <c r="A27" s="1" t="s">
        <v>36</v>
      </c>
      <c r="B27" s="1">
        <v>1019</v>
      </c>
      <c r="C27" s="1">
        <v>1156</v>
      </c>
      <c r="D27" s="1">
        <v>138701.63</v>
      </c>
      <c r="E27" s="1">
        <v>128.79</v>
      </c>
    </row>
    <row r="28" spans="1:5" x14ac:dyDescent="0.35">
      <c r="A28" s="1" t="s">
        <v>37</v>
      </c>
      <c r="B28" s="1">
        <v>227</v>
      </c>
      <c r="C28" s="1">
        <v>236</v>
      </c>
      <c r="D28" s="1">
        <v>107953.95</v>
      </c>
      <c r="E28" s="1">
        <v>467.33</v>
      </c>
    </row>
    <row r="29" spans="1:5" x14ac:dyDescent="0.35">
      <c r="A29" s="1" t="s">
        <v>38</v>
      </c>
      <c r="B29" s="1">
        <v>483</v>
      </c>
      <c r="C29" s="1">
        <v>806</v>
      </c>
      <c r="D29" s="1">
        <v>81407.570000000007</v>
      </c>
      <c r="E29" s="1">
        <v>136.59</v>
      </c>
    </row>
    <row r="30" spans="1:5" x14ac:dyDescent="0.35">
      <c r="A30" s="1" t="s">
        <v>39</v>
      </c>
      <c r="B30" s="1">
        <v>747</v>
      </c>
      <c r="C30" s="1">
        <v>761</v>
      </c>
      <c r="D30" s="1">
        <v>78832.479999999996</v>
      </c>
      <c r="E30" s="1">
        <v>104.55</v>
      </c>
    </row>
    <row r="31" spans="1:5" x14ac:dyDescent="0.35">
      <c r="A31" s="1" t="s">
        <v>40</v>
      </c>
      <c r="B31" s="1">
        <v>177</v>
      </c>
      <c r="C31" s="1">
        <v>258</v>
      </c>
      <c r="D31" s="1">
        <v>70566.100000000006</v>
      </c>
      <c r="E31" s="1">
        <v>342.55</v>
      </c>
    </row>
    <row r="32" spans="1:5" x14ac:dyDescent="0.35">
      <c r="A32" s="1" t="s">
        <v>41</v>
      </c>
      <c r="B32" s="1">
        <v>414</v>
      </c>
      <c r="C32" s="1">
        <v>657</v>
      </c>
      <c r="D32" s="1">
        <v>67350.7</v>
      </c>
      <c r="E32" s="1">
        <v>136.06</v>
      </c>
    </row>
    <row r="33" spans="1:5" x14ac:dyDescent="0.35">
      <c r="A33" s="1" t="s">
        <v>42</v>
      </c>
      <c r="B33" s="1">
        <v>392</v>
      </c>
      <c r="C33" s="1">
        <v>508</v>
      </c>
      <c r="D33" s="1">
        <v>58008.45</v>
      </c>
      <c r="E33" s="1">
        <v>135.22</v>
      </c>
    </row>
    <row r="34" spans="1:5" x14ac:dyDescent="0.35">
      <c r="A34" s="1" t="s">
        <v>43</v>
      </c>
      <c r="B34" s="1">
        <v>212</v>
      </c>
      <c r="C34" s="1">
        <v>347</v>
      </c>
      <c r="D34" s="1">
        <v>55315.21</v>
      </c>
      <c r="E34" s="1">
        <v>216.92</v>
      </c>
    </row>
    <row r="35" spans="1:5" x14ac:dyDescent="0.35">
      <c r="A35" s="1" t="s">
        <v>44</v>
      </c>
      <c r="B35" s="1">
        <v>246</v>
      </c>
      <c r="C35" s="1">
        <v>353</v>
      </c>
      <c r="D35" s="1">
        <v>53323.56</v>
      </c>
      <c r="E35" s="1">
        <v>184.51</v>
      </c>
    </row>
    <row r="36" spans="1:5" x14ac:dyDescent="0.35">
      <c r="A36" s="1" t="s">
        <v>45</v>
      </c>
      <c r="B36" s="1">
        <v>348</v>
      </c>
      <c r="C36" s="1">
        <v>381</v>
      </c>
      <c r="D36" s="1">
        <v>50570.6</v>
      </c>
      <c r="E36" s="1">
        <v>139.69999999999999</v>
      </c>
    </row>
    <row r="37" spans="1:5" x14ac:dyDescent="0.35">
      <c r="A37" s="1" t="s">
        <v>46</v>
      </c>
      <c r="B37" s="1">
        <v>72</v>
      </c>
      <c r="C37" s="1">
        <v>74</v>
      </c>
      <c r="D37" s="1">
        <v>46589.56</v>
      </c>
      <c r="E37" s="1">
        <v>638.21</v>
      </c>
    </row>
    <row r="38" spans="1:5" x14ac:dyDescent="0.35">
      <c r="A38" s="1" t="s">
        <v>47</v>
      </c>
      <c r="B38" s="1">
        <v>241</v>
      </c>
      <c r="C38" s="1">
        <v>318</v>
      </c>
      <c r="D38" s="1">
        <v>45531.98</v>
      </c>
      <c r="E38" s="1">
        <v>166.18</v>
      </c>
    </row>
    <row r="39" spans="1:5" x14ac:dyDescent="0.35">
      <c r="A39" s="1" t="s">
        <v>48</v>
      </c>
      <c r="B39" s="1">
        <v>496</v>
      </c>
      <c r="C39" s="1">
        <v>593</v>
      </c>
      <c r="D39" s="1">
        <v>45302.15</v>
      </c>
      <c r="E39" s="1">
        <v>84.36</v>
      </c>
    </row>
    <row r="40" spans="1:5" x14ac:dyDescent="0.35">
      <c r="A40" s="1" t="s">
        <v>49</v>
      </c>
      <c r="B40" s="1">
        <v>242</v>
      </c>
      <c r="C40" s="1">
        <v>428</v>
      </c>
      <c r="D40" s="1">
        <v>39957</v>
      </c>
      <c r="E40" s="1">
        <v>132.75</v>
      </c>
    </row>
    <row r="41" spans="1:5" x14ac:dyDescent="0.35">
      <c r="A41" s="1" t="s">
        <v>50</v>
      </c>
      <c r="B41" s="1">
        <v>159</v>
      </c>
      <c r="C41" s="1">
        <v>235</v>
      </c>
      <c r="D41" s="1">
        <v>38773.22</v>
      </c>
      <c r="E41" s="1">
        <v>211.88</v>
      </c>
    </row>
    <row r="42" spans="1:5" x14ac:dyDescent="0.35">
      <c r="A42" s="1" t="s">
        <v>51</v>
      </c>
      <c r="B42" s="1">
        <v>232</v>
      </c>
      <c r="C42" s="1">
        <v>309</v>
      </c>
      <c r="D42" s="1">
        <v>38498.81</v>
      </c>
      <c r="E42" s="1">
        <v>145.28</v>
      </c>
    </row>
    <row r="43" spans="1:5" x14ac:dyDescent="0.35">
      <c r="A43" s="1" t="s">
        <v>52</v>
      </c>
      <c r="B43" s="1">
        <v>441</v>
      </c>
      <c r="C43" s="1">
        <v>595</v>
      </c>
      <c r="D43" s="1">
        <v>28731.15</v>
      </c>
      <c r="E43" s="1">
        <v>57.58</v>
      </c>
    </row>
    <row r="44" spans="1:5" x14ac:dyDescent="0.35">
      <c r="A44" s="1" t="s">
        <v>53</v>
      </c>
      <c r="B44" s="1">
        <v>274</v>
      </c>
      <c r="C44" s="1">
        <v>374</v>
      </c>
      <c r="D44" s="1">
        <v>27795.77</v>
      </c>
      <c r="E44" s="1">
        <v>91.13</v>
      </c>
    </row>
    <row r="45" spans="1:5" x14ac:dyDescent="0.35">
      <c r="A45" s="1" t="s">
        <v>54</v>
      </c>
      <c r="B45" s="1">
        <v>190</v>
      </c>
      <c r="C45" s="1">
        <v>296</v>
      </c>
      <c r="D45" s="1">
        <v>25096.28</v>
      </c>
      <c r="E45" s="1">
        <v>108.17</v>
      </c>
    </row>
    <row r="46" spans="1:5" x14ac:dyDescent="0.35">
      <c r="A46" s="1" t="s">
        <v>55</v>
      </c>
      <c r="B46" s="1">
        <v>195</v>
      </c>
      <c r="C46" s="1">
        <v>203</v>
      </c>
      <c r="D46" s="1">
        <v>23657.3</v>
      </c>
      <c r="E46" s="1">
        <v>120.09</v>
      </c>
    </row>
    <row r="47" spans="1:5" x14ac:dyDescent="0.35">
      <c r="A47" s="1" t="s">
        <v>56</v>
      </c>
      <c r="B47" s="1">
        <v>235</v>
      </c>
      <c r="C47" s="1">
        <v>288</v>
      </c>
      <c r="D47" s="1">
        <v>23001.46</v>
      </c>
      <c r="E47" s="1">
        <v>89.5</v>
      </c>
    </row>
    <row r="48" spans="1:5" x14ac:dyDescent="0.35">
      <c r="A48" s="1" t="s">
        <v>57</v>
      </c>
      <c r="B48" s="1">
        <v>287</v>
      </c>
      <c r="C48" s="1">
        <v>530</v>
      </c>
      <c r="D48" s="1">
        <v>21529.84</v>
      </c>
      <c r="E48" s="1">
        <v>59.64</v>
      </c>
    </row>
    <row r="49" spans="1:5" x14ac:dyDescent="0.35">
      <c r="A49" s="1" t="s">
        <v>58</v>
      </c>
      <c r="B49" s="1">
        <v>138</v>
      </c>
      <c r="C49" s="1">
        <v>305</v>
      </c>
      <c r="D49" s="1">
        <v>21315.05</v>
      </c>
      <c r="E49" s="1">
        <v>108.2</v>
      </c>
    </row>
    <row r="50" spans="1:5" x14ac:dyDescent="0.35">
      <c r="A50" s="1" t="s">
        <v>59</v>
      </c>
      <c r="B50" s="1">
        <v>90</v>
      </c>
      <c r="C50" s="1">
        <v>118</v>
      </c>
      <c r="D50" s="1">
        <v>19051.8</v>
      </c>
      <c r="E50" s="1">
        <v>184.97</v>
      </c>
    </row>
    <row r="51" spans="1:5" x14ac:dyDescent="0.35">
      <c r="A51" s="1" t="s">
        <v>60</v>
      </c>
      <c r="B51" s="1">
        <v>256</v>
      </c>
      <c r="C51" s="1">
        <v>271</v>
      </c>
      <c r="D51" s="1">
        <v>18702.23</v>
      </c>
      <c r="E51" s="1">
        <v>71.11</v>
      </c>
    </row>
    <row r="52" spans="1:5" x14ac:dyDescent="0.35">
      <c r="A52" s="1" t="s">
        <v>61</v>
      </c>
      <c r="B52" s="1">
        <v>97</v>
      </c>
      <c r="C52" s="1">
        <v>109</v>
      </c>
      <c r="D52" s="1">
        <v>15903.95</v>
      </c>
      <c r="E52" s="1">
        <v>154.41</v>
      </c>
    </row>
    <row r="53" spans="1:5" x14ac:dyDescent="0.35">
      <c r="A53" s="1" t="s">
        <v>62</v>
      </c>
      <c r="B53" s="1">
        <v>221</v>
      </c>
      <c r="C53" s="1">
        <v>350</v>
      </c>
      <c r="D53" s="1">
        <v>14942.88</v>
      </c>
      <c r="E53" s="1">
        <v>55.55</v>
      </c>
    </row>
    <row r="54" spans="1:5" x14ac:dyDescent="0.35">
      <c r="A54" s="1" t="s">
        <v>63</v>
      </c>
      <c r="B54" s="1">
        <v>106</v>
      </c>
      <c r="C54" s="1">
        <v>148</v>
      </c>
      <c r="D54" s="1">
        <v>10452.33</v>
      </c>
      <c r="E54" s="1">
        <v>83.62</v>
      </c>
    </row>
    <row r="55" spans="1:5" x14ac:dyDescent="0.35">
      <c r="A55" s="1" t="s">
        <v>64</v>
      </c>
      <c r="B55" s="1">
        <v>117</v>
      </c>
      <c r="C55" s="1">
        <v>143</v>
      </c>
      <c r="D55" s="1">
        <v>9305.9500000000007</v>
      </c>
      <c r="E55" s="1">
        <v>73.28</v>
      </c>
    </row>
    <row r="56" spans="1:5" x14ac:dyDescent="0.35">
      <c r="A56" s="1" t="s">
        <v>65</v>
      </c>
      <c r="B56" s="1">
        <v>125</v>
      </c>
      <c r="C56" s="1">
        <v>199</v>
      </c>
      <c r="D56" s="1">
        <v>8737.84</v>
      </c>
      <c r="E56" s="1">
        <v>58.25</v>
      </c>
    </row>
    <row r="57" spans="1:5" x14ac:dyDescent="0.35">
      <c r="A57" s="1" t="s">
        <v>66</v>
      </c>
      <c r="B57" s="1">
        <v>79</v>
      </c>
      <c r="C57" s="1">
        <v>89</v>
      </c>
      <c r="D57" s="1">
        <v>7528.41</v>
      </c>
      <c r="E57" s="1">
        <v>90.7</v>
      </c>
    </row>
    <row r="58" spans="1:5" x14ac:dyDescent="0.35">
      <c r="A58" s="1" t="s">
        <v>67</v>
      </c>
      <c r="B58" s="1">
        <v>63</v>
      </c>
      <c r="C58" s="1">
        <v>80</v>
      </c>
      <c r="D58" s="1">
        <v>6674.47</v>
      </c>
      <c r="E58" s="1">
        <v>95.35</v>
      </c>
    </row>
    <row r="59" spans="1:5" x14ac:dyDescent="0.35">
      <c r="A59" s="1" t="s">
        <v>68</v>
      </c>
      <c r="B59" s="1">
        <v>38</v>
      </c>
      <c r="C59" s="1">
        <v>39</v>
      </c>
      <c r="D59" s="1">
        <v>6034.35</v>
      </c>
      <c r="E59" s="1">
        <v>158.80000000000001</v>
      </c>
    </row>
    <row r="60" spans="1:5" x14ac:dyDescent="0.35">
      <c r="A60" s="1" t="s">
        <v>69</v>
      </c>
      <c r="B60" s="1">
        <v>56</v>
      </c>
      <c r="C60" s="1">
        <v>67</v>
      </c>
      <c r="D60" s="1">
        <v>4542.59</v>
      </c>
      <c r="E60" s="1">
        <v>74.47</v>
      </c>
    </row>
    <row r="61" spans="1:5" x14ac:dyDescent="0.35">
      <c r="A61" s="1" t="s">
        <v>70</v>
      </c>
      <c r="B61" s="1">
        <v>38</v>
      </c>
      <c r="C61" s="1">
        <v>46</v>
      </c>
      <c r="D61" s="1">
        <v>4465.1899999999996</v>
      </c>
      <c r="E61" s="1">
        <v>106.31</v>
      </c>
    </row>
    <row r="62" spans="1:5" x14ac:dyDescent="0.35">
      <c r="A62" s="1" t="s">
        <v>71</v>
      </c>
      <c r="B62" s="1">
        <v>50</v>
      </c>
      <c r="C62" s="1">
        <v>65</v>
      </c>
      <c r="D62" s="1">
        <v>4418.8599999999997</v>
      </c>
      <c r="E62" s="1">
        <v>77.52</v>
      </c>
    </row>
    <row r="63" spans="1:5" x14ac:dyDescent="0.35">
      <c r="A63" s="1" t="s">
        <v>72</v>
      </c>
      <c r="B63" s="1">
        <v>37</v>
      </c>
      <c r="C63" s="1">
        <v>37</v>
      </c>
      <c r="D63" s="1">
        <v>4323.38</v>
      </c>
      <c r="E63" s="1">
        <v>116.85</v>
      </c>
    </row>
    <row r="64" spans="1:5" x14ac:dyDescent="0.35">
      <c r="A64" s="1" t="s">
        <v>73</v>
      </c>
      <c r="B64" s="1">
        <v>13</v>
      </c>
      <c r="C64" s="1">
        <v>15</v>
      </c>
      <c r="D64" s="1">
        <v>3933.63</v>
      </c>
      <c r="E64" s="1">
        <v>280.97000000000003</v>
      </c>
    </row>
    <row r="65" spans="1:5" x14ac:dyDescent="0.35">
      <c r="A65" s="1" t="s">
        <v>74</v>
      </c>
      <c r="B65" s="1">
        <v>36</v>
      </c>
      <c r="C65" s="1">
        <v>63</v>
      </c>
      <c r="D65" s="1">
        <v>2634.94</v>
      </c>
      <c r="E65" s="1">
        <v>58.55</v>
      </c>
    </row>
    <row r="66" spans="1:5" x14ac:dyDescent="0.35">
      <c r="A66" s="1" t="s">
        <v>75</v>
      </c>
      <c r="B66" s="1">
        <v>26</v>
      </c>
      <c r="C66" s="1">
        <v>37</v>
      </c>
      <c r="D66" s="1">
        <v>2094.52</v>
      </c>
      <c r="E66" s="1">
        <v>72.22</v>
      </c>
    </row>
    <row r="67" spans="1:5" x14ac:dyDescent="0.35">
      <c r="A67" s="1" t="s">
        <v>76</v>
      </c>
      <c r="B67" s="1">
        <v>13</v>
      </c>
      <c r="C67" s="1">
        <v>16</v>
      </c>
      <c r="D67" s="1">
        <v>2054.9899999999998</v>
      </c>
      <c r="E67" s="1">
        <v>146.78</v>
      </c>
    </row>
    <row r="68" spans="1:5" x14ac:dyDescent="0.35">
      <c r="A68" s="1" t="s">
        <v>77</v>
      </c>
      <c r="B68" s="1">
        <v>23</v>
      </c>
      <c r="C68" s="1">
        <v>26</v>
      </c>
      <c r="D68" s="1">
        <v>1814.01</v>
      </c>
      <c r="E68" s="1">
        <v>75.58</v>
      </c>
    </row>
    <row r="69" spans="1:5" x14ac:dyDescent="0.35">
      <c r="A69" s="1" t="s">
        <v>78</v>
      </c>
      <c r="B69" s="1">
        <v>25</v>
      </c>
      <c r="C69" s="1">
        <v>64</v>
      </c>
      <c r="D69" s="1">
        <v>1500.79</v>
      </c>
      <c r="E69" s="1">
        <v>40.56</v>
      </c>
    </row>
    <row r="70" spans="1:5" x14ac:dyDescent="0.35">
      <c r="A70" s="1" t="s">
        <v>79</v>
      </c>
      <c r="B70" s="1">
        <v>7</v>
      </c>
      <c r="C70" s="1">
        <v>10</v>
      </c>
      <c r="D70" s="1">
        <v>1306.95</v>
      </c>
      <c r="E70" s="1">
        <v>163.37</v>
      </c>
    </row>
    <row r="71" spans="1:5" x14ac:dyDescent="0.35">
      <c r="A71" s="1" t="s">
        <v>80</v>
      </c>
      <c r="B71" s="1">
        <v>29</v>
      </c>
      <c r="C71" s="1">
        <v>37</v>
      </c>
      <c r="D71" s="1">
        <v>1110.04</v>
      </c>
      <c r="E71" s="1">
        <v>33.64</v>
      </c>
    </row>
    <row r="72" spans="1:5" x14ac:dyDescent="0.35">
      <c r="A72" s="1" t="s">
        <v>81</v>
      </c>
      <c r="B72" s="1">
        <v>24</v>
      </c>
      <c r="C72" s="1">
        <v>39</v>
      </c>
      <c r="D72" s="1">
        <v>760.27</v>
      </c>
      <c r="E72" s="1">
        <v>25.34</v>
      </c>
    </row>
    <row r="73" spans="1:5" x14ac:dyDescent="0.35">
      <c r="A73" s="1" t="s">
        <v>82</v>
      </c>
      <c r="B73" s="1">
        <v>12</v>
      </c>
      <c r="C73" s="1">
        <v>16</v>
      </c>
      <c r="D73" s="1">
        <v>730</v>
      </c>
      <c r="E73" s="1">
        <v>52.14</v>
      </c>
    </row>
    <row r="74" spans="1:5" x14ac:dyDescent="0.35">
      <c r="A74" s="1" t="s">
        <v>83</v>
      </c>
      <c r="B74" s="1">
        <v>7</v>
      </c>
      <c r="C74" s="1">
        <v>7</v>
      </c>
      <c r="D74" s="1">
        <v>519.95000000000005</v>
      </c>
      <c r="E74" s="1">
        <v>74.28</v>
      </c>
    </row>
    <row r="75" spans="1:5" x14ac:dyDescent="0.35">
      <c r="A75" s="1" t="s">
        <v>84</v>
      </c>
      <c r="B75" s="1">
        <v>2</v>
      </c>
      <c r="C75" s="1">
        <v>2</v>
      </c>
      <c r="D75" s="1">
        <v>283.29000000000002</v>
      </c>
      <c r="E75" s="1">
        <v>141.63999999999999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8"/>
  <sheetViews>
    <sheetView topLeftCell="A49" zoomScale="69" workbookViewId="0">
      <selection activeCell="E79" sqref="E79"/>
    </sheetView>
  </sheetViews>
  <sheetFormatPr defaultRowHeight="14.5" x14ac:dyDescent="0.35"/>
  <cols>
    <col min="1" max="1" width="43.7265625" bestFit="1" customWidth="1"/>
    <col min="2" max="2" width="24.1796875" bestFit="1" customWidth="1"/>
  </cols>
  <sheetData>
    <row r="3" spans="1:2" ht="18.5" x14ac:dyDescent="0.45">
      <c r="A3" s="10" t="s">
        <v>3</v>
      </c>
      <c r="B3" s="11" t="s">
        <v>85</v>
      </c>
    </row>
    <row r="4" spans="1:2" x14ac:dyDescent="0.35">
      <c r="A4" s="8" t="s">
        <v>40</v>
      </c>
      <c r="B4" s="9">
        <v>70566.100000000006</v>
      </c>
    </row>
    <row r="5" spans="1:2" x14ac:dyDescent="0.35">
      <c r="A5" s="8" t="s">
        <v>52</v>
      </c>
      <c r="B5" s="9">
        <v>28731.15</v>
      </c>
    </row>
    <row r="6" spans="1:2" x14ac:dyDescent="0.35">
      <c r="A6" s="8" t="s">
        <v>62</v>
      </c>
      <c r="B6" s="9">
        <v>14942.88</v>
      </c>
    </row>
    <row r="7" spans="1:2" x14ac:dyDescent="0.35">
      <c r="A7" s="8" t="s">
        <v>55</v>
      </c>
      <c r="B7" s="9">
        <v>23657.3</v>
      </c>
    </row>
    <row r="8" spans="1:2" x14ac:dyDescent="0.35">
      <c r="A8" s="8" t="s">
        <v>77</v>
      </c>
      <c r="B8" s="9">
        <v>1814.01</v>
      </c>
    </row>
    <row r="9" spans="1:2" x14ac:dyDescent="0.35">
      <c r="A9" s="8" t="s">
        <v>70</v>
      </c>
      <c r="B9" s="9">
        <v>4465.1899999999996</v>
      </c>
    </row>
    <row r="10" spans="1:2" x14ac:dyDescent="0.35">
      <c r="A10" s="8" t="s">
        <v>65</v>
      </c>
      <c r="B10" s="9">
        <v>8737.84</v>
      </c>
    </row>
    <row r="11" spans="1:2" x14ac:dyDescent="0.35">
      <c r="A11" s="8" t="s">
        <v>45</v>
      </c>
      <c r="B11" s="9">
        <v>50570.6</v>
      </c>
    </row>
    <row r="12" spans="1:2" x14ac:dyDescent="0.35">
      <c r="A12" s="8" t="s">
        <v>19</v>
      </c>
      <c r="B12" s="9">
        <v>578966.65</v>
      </c>
    </row>
    <row r="13" spans="1:2" x14ac:dyDescent="0.35">
      <c r="A13" s="8" t="s">
        <v>22</v>
      </c>
      <c r="B13" s="9">
        <v>400421.84</v>
      </c>
    </row>
    <row r="14" spans="1:2" x14ac:dyDescent="0.35">
      <c r="A14" s="8" t="s">
        <v>57</v>
      </c>
      <c r="B14" s="9">
        <v>21529.84</v>
      </c>
    </row>
    <row r="15" spans="1:2" x14ac:dyDescent="0.35">
      <c r="A15" s="8" t="s">
        <v>11</v>
      </c>
      <c r="B15" s="9">
        <v>1233131.72</v>
      </c>
    </row>
    <row r="16" spans="1:2" x14ac:dyDescent="0.35">
      <c r="A16" s="8" t="s">
        <v>20</v>
      </c>
      <c r="B16" s="9">
        <v>471286.48</v>
      </c>
    </row>
    <row r="17" spans="1:2" x14ac:dyDescent="0.35">
      <c r="A17" s="8" t="s">
        <v>13</v>
      </c>
      <c r="B17" s="9">
        <v>1023434.76</v>
      </c>
    </row>
    <row r="18" spans="1:2" x14ac:dyDescent="0.35">
      <c r="A18" s="8" t="s">
        <v>42</v>
      </c>
      <c r="B18" s="9">
        <v>58008.45</v>
      </c>
    </row>
    <row r="19" spans="1:2" x14ac:dyDescent="0.35">
      <c r="A19" s="8" t="s">
        <v>81</v>
      </c>
      <c r="B19" s="9">
        <v>760.27</v>
      </c>
    </row>
    <row r="20" spans="1:2" x14ac:dyDescent="0.35">
      <c r="A20" s="8" t="s">
        <v>38</v>
      </c>
      <c r="B20" s="9">
        <v>81407.570000000007</v>
      </c>
    </row>
    <row r="21" spans="1:2" x14ac:dyDescent="0.35">
      <c r="A21" s="8" t="s">
        <v>82</v>
      </c>
      <c r="B21" s="9">
        <v>730</v>
      </c>
    </row>
    <row r="22" spans="1:2" x14ac:dyDescent="0.35">
      <c r="A22" s="8" t="s">
        <v>67</v>
      </c>
      <c r="B22" s="9">
        <v>6674.47</v>
      </c>
    </row>
    <row r="23" spans="1:2" x14ac:dyDescent="0.35">
      <c r="A23" s="8" t="s">
        <v>44</v>
      </c>
      <c r="B23" s="9">
        <v>53323.56</v>
      </c>
    </row>
    <row r="24" spans="1:2" x14ac:dyDescent="0.35">
      <c r="A24" s="8" t="s">
        <v>34</v>
      </c>
      <c r="B24" s="9">
        <v>148003.37</v>
      </c>
    </row>
    <row r="25" spans="1:2" x14ac:dyDescent="0.35">
      <c r="A25" s="8" t="s">
        <v>35</v>
      </c>
      <c r="B25" s="9">
        <v>142108.49</v>
      </c>
    </row>
    <row r="26" spans="1:2" x14ac:dyDescent="0.35">
      <c r="A26" s="8" t="s">
        <v>61</v>
      </c>
      <c r="B26" s="9">
        <v>15903.95</v>
      </c>
    </row>
    <row r="27" spans="1:2" x14ac:dyDescent="0.35">
      <c r="A27" s="8" t="s">
        <v>49</v>
      </c>
      <c r="B27" s="9">
        <v>39957</v>
      </c>
    </row>
    <row r="28" spans="1:2" x14ac:dyDescent="0.35">
      <c r="A28" s="8" t="s">
        <v>54</v>
      </c>
      <c r="B28" s="9">
        <v>25096.28</v>
      </c>
    </row>
    <row r="29" spans="1:2" x14ac:dyDescent="0.35">
      <c r="A29" s="8" t="s">
        <v>50</v>
      </c>
      <c r="B29" s="9">
        <v>38773.22</v>
      </c>
    </row>
    <row r="30" spans="1:2" x14ac:dyDescent="0.35">
      <c r="A30" s="8" t="s">
        <v>18</v>
      </c>
      <c r="B30" s="9">
        <v>610204.1</v>
      </c>
    </row>
    <row r="31" spans="1:2" x14ac:dyDescent="0.35">
      <c r="A31" s="8" t="s">
        <v>69</v>
      </c>
      <c r="B31" s="9">
        <v>4542.59</v>
      </c>
    </row>
    <row r="32" spans="1:2" x14ac:dyDescent="0.35">
      <c r="A32" s="8" t="s">
        <v>39</v>
      </c>
      <c r="B32" s="9">
        <v>78832.479999999996</v>
      </c>
    </row>
    <row r="33" spans="1:2" x14ac:dyDescent="0.35">
      <c r="A33" s="8" t="s">
        <v>37</v>
      </c>
      <c r="B33" s="9">
        <v>107953.95</v>
      </c>
    </row>
    <row r="34" spans="1:2" x14ac:dyDescent="0.35">
      <c r="A34" s="8" t="s">
        <v>32</v>
      </c>
      <c r="B34" s="9">
        <v>155043.93</v>
      </c>
    </row>
    <row r="35" spans="1:2" x14ac:dyDescent="0.35">
      <c r="A35" s="8" t="s">
        <v>30</v>
      </c>
      <c r="B35" s="9">
        <v>182754.12</v>
      </c>
    </row>
    <row r="36" spans="1:2" x14ac:dyDescent="0.35">
      <c r="A36" s="8" t="s">
        <v>14</v>
      </c>
      <c r="B36" s="9">
        <v>954852.55</v>
      </c>
    </row>
    <row r="37" spans="1:2" x14ac:dyDescent="0.35">
      <c r="A37" s="8" t="s">
        <v>33</v>
      </c>
      <c r="B37" s="9">
        <v>149329.39000000001</v>
      </c>
    </row>
    <row r="38" spans="1:2" x14ac:dyDescent="0.35">
      <c r="A38" s="8" t="s">
        <v>56</v>
      </c>
      <c r="B38" s="9">
        <v>23001.46</v>
      </c>
    </row>
    <row r="39" spans="1:2" x14ac:dyDescent="0.35">
      <c r="A39" s="8" t="s">
        <v>75</v>
      </c>
      <c r="B39" s="9">
        <v>2094.52</v>
      </c>
    </row>
    <row r="40" spans="1:2" x14ac:dyDescent="0.35">
      <c r="A40" s="8" t="s">
        <v>74</v>
      </c>
      <c r="B40" s="9">
        <v>2634.94</v>
      </c>
    </row>
    <row r="41" spans="1:2" x14ac:dyDescent="0.35">
      <c r="A41" s="8" t="s">
        <v>83</v>
      </c>
      <c r="B41" s="9">
        <v>519.95000000000005</v>
      </c>
    </row>
    <row r="42" spans="1:2" x14ac:dyDescent="0.35">
      <c r="A42" s="8" t="s">
        <v>63</v>
      </c>
      <c r="B42" s="9">
        <v>10452.33</v>
      </c>
    </row>
    <row r="43" spans="1:2" x14ac:dyDescent="0.35">
      <c r="A43" s="8" t="s">
        <v>64</v>
      </c>
      <c r="B43" s="9">
        <v>9305.9500000000007</v>
      </c>
    </row>
    <row r="44" spans="1:2" x14ac:dyDescent="0.35">
      <c r="A44" s="8" t="s">
        <v>21</v>
      </c>
      <c r="B44" s="9">
        <v>470495.28</v>
      </c>
    </row>
    <row r="45" spans="1:2" x14ac:dyDescent="0.35">
      <c r="A45" s="8" t="s">
        <v>80</v>
      </c>
      <c r="B45" s="9">
        <v>1110.04</v>
      </c>
    </row>
    <row r="46" spans="1:2" x14ac:dyDescent="0.35">
      <c r="A46" s="8" t="s">
        <v>78</v>
      </c>
      <c r="B46" s="9">
        <v>1500.79</v>
      </c>
    </row>
    <row r="47" spans="1:2" x14ac:dyDescent="0.35">
      <c r="A47" s="8" t="s">
        <v>51</v>
      </c>
      <c r="B47" s="9">
        <v>38498.81</v>
      </c>
    </row>
    <row r="48" spans="1:2" x14ac:dyDescent="0.35">
      <c r="A48" s="8" t="s">
        <v>15</v>
      </c>
      <c r="B48" s="9">
        <v>888724.61</v>
      </c>
    </row>
    <row r="49" spans="1:2" x14ac:dyDescent="0.35">
      <c r="A49" s="8" t="s">
        <v>29</v>
      </c>
      <c r="B49" s="9">
        <v>184315.74</v>
      </c>
    </row>
    <row r="50" spans="1:2" x14ac:dyDescent="0.35">
      <c r="A50" s="8" t="s">
        <v>76</v>
      </c>
      <c r="B50" s="9">
        <v>2054.9899999999998</v>
      </c>
    </row>
    <row r="51" spans="1:2" x14ac:dyDescent="0.35">
      <c r="A51" s="8" t="s">
        <v>71</v>
      </c>
      <c r="B51" s="9">
        <v>4418.8599999999997</v>
      </c>
    </row>
    <row r="52" spans="1:2" x14ac:dyDescent="0.35">
      <c r="A52" s="8" t="s">
        <v>48</v>
      </c>
      <c r="B52" s="9">
        <v>45302.15</v>
      </c>
    </row>
    <row r="53" spans="1:2" x14ac:dyDescent="0.35">
      <c r="A53" s="8" t="s">
        <v>60</v>
      </c>
      <c r="B53" s="9">
        <v>18702.23</v>
      </c>
    </row>
    <row r="54" spans="1:2" x14ac:dyDescent="0.35">
      <c r="A54" s="8" t="s">
        <v>36</v>
      </c>
      <c r="B54" s="9">
        <v>138701.63</v>
      </c>
    </row>
    <row r="55" spans="1:2" x14ac:dyDescent="0.35">
      <c r="A55" s="8" t="s">
        <v>53</v>
      </c>
      <c r="B55" s="9">
        <v>27795.77</v>
      </c>
    </row>
    <row r="56" spans="1:2" x14ac:dyDescent="0.35">
      <c r="A56" s="8" t="s">
        <v>72</v>
      </c>
      <c r="B56" s="9">
        <v>4323.38</v>
      </c>
    </row>
    <row r="57" spans="1:2" x14ac:dyDescent="0.35">
      <c r="A57" s="8" t="s">
        <v>47</v>
      </c>
      <c r="B57" s="9">
        <v>45531.98</v>
      </c>
    </row>
    <row r="58" spans="1:2" x14ac:dyDescent="0.35">
      <c r="A58" s="8" t="s">
        <v>16</v>
      </c>
      <c r="B58" s="9">
        <v>711927.69</v>
      </c>
    </row>
    <row r="59" spans="1:2" x14ac:dyDescent="0.35">
      <c r="A59" s="8" t="s">
        <v>25</v>
      </c>
      <c r="B59" s="9">
        <v>268154.31</v>
      </c>
    </row>
    <row r="60" spans="1:2" x14ac:dyDescent="0.35">
      <c r="A60" s="8" t="s">
        <v>59</v>
      </c>
      <c r="B60" s="9">
        <v>19051.8</v>
      </c>
    </row>
    <row r="61" spans="1:2" x14ac:dyDescent="0.35">
      <c r="A61" s="8" t="s">
        <v>41</v>
      </c>
      <c r="B61" s="9">
        <v>67350.7</v>
      </c>
    </row>
    <row r="62" spans="1:2" x14ac:dyDescent="0.35">
      <c r="A62" s="8" t="s">
        <v>68</v>
      </c>
      <c r="B62" s="9">
        <v>6034.35</v>
      </c>
    </row>
    <row r="63" spans="1:2" x14ac:dyDescent="0.35">
      <c r="A63" s="8" t="s">
        <v>31</v>
      </c>
      <c r="B63" s="9">
        <v>170726.63</v>
      </c>
    </row>
    <row r="64" spans="1:2" x14ac:dyDescent="0.35">
      <c r="A64" s="8" t="s">
        <v>26</v>
      </c>
      <c r="B64" s="9">
        <v>223788.69</v>
      </c>
    </row>
    <row r="65" spans="1:2" x14ac:dyDescent="0.35">
      <c r="A65" s="8" t="s">
        <v>79</v>
      </c>
      <c r="B65" s="9">
        <v>1306.95</v>
      </c>
    </row>
    <row r="66" spans="1:2" x14ac:dyDescent="0.35">
      <c r="A66" s="8" t="s">
        <v>27</v>
      </c>
      <c r="B66" s="9">
        <v>218684.14</v>
      </c>
    </row>
    <row r="67" spans="1:2" x14ac:dyDescent="0.35">
      <c r="A67" s="8" t="s">
        <v>23</v>
      </c>
      <c r="B67" s="9">
        <v>390144.65</v>
      </c>
    </row>
    <row r="68" spans="1:2" x14ac:dyDescent="0.35">
      <c r="A68" s="8" t="s">
        <v>28</v>
      </c>
      <c r="B68" s="9">
        <v>211695.64</v>
      </c>
    </row>
    <row r="69" spans="1:2" x14ac:dyDescent="0.35">
      <c r="A69" s="8" t="s">
        <v>46</v>
      </c>
      <c r="B69" s="9">
        <v>46589.56</v>
      </c>
    </row>
    <row r="70" spans="1:2" x14ac:dyDescent="0.35">
      <c r="A70" s="8" t="s">
        <v>73</v>
      </c>
      <c r="B70" s="9">
        <v>3933.63</v>
      </c>
    </row>
    <row r="71" spans="1:2" x14ac:dyDescent="0.35">
      <c r="A71" s="8" t="s">
        <v>12</v>
      </c>
      <c r="B71" s="9">
        <v>1166176.98</v>
      </c>
    </row>
    <row r="72" spans="1:2" x14ac:dyDescent="0.35">
      <c r="A72" s="8" t="s">
        <v>84</v>
      </c>
      <c r="B72" s="9">
        <v>283.29000000000002</v>
      </c>
    </row>
    <row r="73" spans="1:2" x14ac:dyDescent="0.35">
      <c r="A73" s="8" t="s">
        <v>58</v>
      </c>
      <c r="B73" s="9">
        <v>21315.05</v>
      </c>
    </row>
    <row r="74" spans="1:2" x14ac:dyDescent="0.35">
      <c r="A74" s="8" t="s">
        <v>66</v>
      </c>
      <c r="B74" s="9">
        <v>7528.41</v>
      </c>
    </row>
    <row r="75" spans="1:2" x14ac:dyDescent="0.35">
      <c r="A75" s="8" t="s">
        <v>24</v>
      </c>
      <c r="B75" s="9">
        <v>309860.23</v>
      </c>
    </row>
    <row r="76" spans="1:2" x14ac:dyDescent="0.35">
      <c r="A76" s="8" t="s">
        <v>43</v>
      </c>
      <c r="B76" s="9">
        <v>55315.21</v>
      </c>
    </row>
    <row r="77" spans="1:2" x14ac:dyDescent="0.35">
      <c r="A77" s="8" t="s">
        <v>17</v>
      </c>
      <c r="B77" s="9">
        <v>615628.68999999994</v>
      </c>
    </row>
    <row r="78" spans="1:2" x14ac:dyDescent="0.35">
      <c r="A78" s="8" t="s">
        <v>4</v>
      </c>
      <c r="B78" s="9">
        <v>13221498.110000007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:F16"/>
  <sheetViews>
    <sheetView topLeftCell="F1" workbookViewId="0">
      <selection activeCell="D8" sqref="D8"/>
    </sheetView>
  </sheetViews>
  <sheetFormatPr defaultRowHeight="14.5" x14ac:dyDescent="0.35"/>
  <cols>
    <col min="5" max="5" width="20.1796875" customWidth="1"/>
    <col min="6" max="6" width="24.1796875" bestFit="1" customWidth="1"/>
  </cols>
  <sheetData>
    <row r="5" spans="5:6" ht="18.5" x14ac:dyDescent="0.45">
      <c r="E5" s="10" t="s">
        <v>3</v>
      </c>
      <c r="F5" s="11" t="s">
        <v>85</v>
      </c>
    </row>
    <row r="6" spans="5:6" x14ac:dyDescent="0.35">
      <c r="E6" s="8" t="s">
        <v>19</v>
      </c>
      <c r="F6" s="9">
        <v>578966.65</v>
      </c>
    </row>
    <row r="7" spans="5:6" x14ac:dyDescent="0.35">
      <c r="E7" s="8" t="s">
        <v>11</v>
      </c>
      <c r="F7" s="9">
        <v>1233131.72</v>
      </c>
    </row>
    <row r="8" spans="5:6" x14ac:dyDescent="0.35">
      <c r="E8" s="8" t="s">
        <v>20</v>
      </c>
      <c r="F8" s="9">
        <v>471286.48</v>
      </c>
    </row>
    <row r="9" spans="5:6" x14ac:dyDescent="0.35">
      <c r="E9" s="8" t="s">
        <v>13</v>
      </c>
      <c r="F9" s="9">
        <v>1023434.76</v>
      </c>
    </row>
    <row r="10" spans="5:6" x14ac:dyDescent="0.35">
      <c r="E10" s="8" t="s">
        <v>18</v>
      </c>
      <c r="F10" s="9">
        <v>610204.1</v>
      </c>
    </row>
    <row r="11" spans="5:6" x14ac:dyDescent="0.35">
      <c r="E11" s="8" t="s">
        <v>14</v>
      </c>
      <c r="F11" s="9">
        <v>954852.55</v>
      </c>
    </row>
    <row r="12" spans="5:6" x14ac:dyDescent="0.35">
      <c r="E12" s="8" t="s">
        <v>15</v>
      </c>
      <c r="F12" s="9">
        <v>888724.61</v>
      </c>
    </row>
    <row r="13" spans="5:6" x14ac:dyDescent="0.35">
      <c r="E13" s="8" t="s">
        <v>16</v>
      </c>
      <c r="F13" s="9">
        <v>711927.69</v>
      </c>
    </row>
    <row r="14" spans="5:6" x14ac:dyDescent="0.35">
      <c r="E14" s="8" t="s">
        <v>12</v>
      </c>
      <c r="F14" s="9">
        <v>1166176.98</v>
      </c>
    </row>
    <row r="15" spans="5:6" x14ac:dyDescent="0.35">
      <c r="E15" s="8" t="s">
        <v>17</v>
      </c>
      <c r="F15" s="9">
        <v>615628.68999999994</v>
      </c>
    </row>
    <row r="16" spans="5:6" x14ac:dyDescent="0.35">
      <c r="E16" s="8" t="s">
        <v>4</v>
      </c>
      <c r="F16" s="9">
        <v>8254334.2300000004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selection activeCell="G7" sqref="G7"/>
    </sheetView>
  </sheetViews>
  <sheetFormatPr defaultRowHeight="14.5" x14ac:dyDescent="0.35"/>
  <cols>
    <col min="1" max="1" width="16.36328125" bestFit="1" customWidth="1"/>
    <col min="2" max="2" width="13.54296875" bestFit="1" customWidth="1"/>
    <col min="3" max="3" width="14.90625" bestFit="1" customWidth="1"/>
    <col min="4" max="4" width="17.08984375" bestFit="1" customWidth="1"/>
  </cols>
  <sheetData>
    <row r="1" spans="1:4" x14ac:dyDescent="0.35">
      <c r="A1" s="1" t="s">
        <v>86</v>
      </c>
      <c r="B1" s="1" t="s">
        <v>1</v>
      </c>
      <c r="C1" s="1" t="s">
        <v>9</v>
      </c>
      <c r="D1" s="1" t="s">
        <v>87</v>
      </c>
    </row>
    <row r="2" spans="1:4" x14ac:dyDescent="0.35">
      <c r="A2" s="1" t="s">
        <v>88</v>
      </c>
      <c r="B2" s="1">
        <v>40501</v>
      </c>
      <c r="C2" s="1">
        <v>5067633.16</v>
      </c>
      <c r="D2" s="1">
        <v>109.1</v>
      </c>
    </row>
    <row r="3" spans="1:4" x14ac:dyDescent="0.35">
      <c r="A3" s="1" t="s">
        <v>89</v>
      </c>
      <c r="B3" s="1">
        <v>12350</v>
      </c>
      <c r="C3" s="1">
        <v>1759651.13</v>
      </c>
      <c r="D3" s="1">
        <v>124.42</v>
      </c>
    </row>
    <row r="4" spans="1:4" x14ac:dyDescent="0.35">
      <c r="A4" s="1" t="s">
        <v>90</v>
      </c>
      <c r="B4" s="1">
        <v>11354</v>
      </c>
      <c r="C4" s="1">
        <v>1552481.83</v>
      </c>
      <c r="D4" s="1">
        <v>120.2</v>
      </c>
    </row>
    <row r="5" spans="1:4" x14ac:dyDescent="0.35">
      <c r="A5" s="1" t="s">
        <v>91</v>
      </c>
      <c r="B5" s="1">
        <v>5345</v>
      </c>
      <c r="C5" s="1">
        <v>728897.47</v>
      </c>
      <c r="D5" s="1">
        <v>118.83</v>
      </c>
    </row>
    <row r="6" spans="1:4" x14ac:dyDescent="0.35">
      <c r="A6" s="1" t="s">
        <v>92</v>
      </c>
      <c r="B6" s="1">
        <v>4923</v>
      </c>
      <c r="C6" s="1">
        <v>666063.51</v>
      </c>
      <c r="D6" s="1">
        <v>117.91</v>
      </c>
    </row>
    <row r="7" spans="1:4" x14ac:dyDescent="0.35">
      <c r="A7" s="1" t="s">
        <v>93</v>
      </c>
      <c r="B7" s="1">
        <v>3546</v>
      </c>
      <c r="C7" s="1">
        <v>507012.13</v>
      </c>
      <c r="D7" s="1">
        <v>123.75</v>
      </c>
    </row>
    <row r="8" spans="1:4" x14ac:dyDescent="0.35">
      <c r="A8" s="1" t="s">
        <v>94</v>
      </c>
      <c r="B8" s="1">
        <v>3256</v>
      </c>
      <c r="C8" s="1">
        <v>493584.14</v>
      </c>
      <c r="D8" s="1">
        <v>134.02000000000001</v>
      </c>
    </row>
    <row r="9" spans="1:4" x14ac:dyDescent="0.35">
      <c r="A9" s="1" t="s">
        <v>95</v>
      </c>
      <c r="B9" s="1">
        <v>2080</v>
      </c>
      <c r="C9" s="1">
        <v>296498.40999999997</v>
      </c>
      <c r="D9" s="1">
        <v>125.9</v>
      </c>
    </row>
    <row r="10" spans="1:4" x14ac:dyDescent="0.35">
      <c r="A10" s="1" t="s">
        <v>96</v>
      </c>
      <c r="B10" s="1">
        <v>1957</v>
      </c>
      <c r="C10" s="1">
        <v>282836.7</v>
      </c>
      <c r="D10" s="1">
        <v>124.21</v>
      </c>
    </row>
    <row r="11" spans="1:4" x14ac:dyDescent="0.35">
      <c r="A11" s="1" t="s">
        <v>97</v>
      </c>
      <c r="B11" s="1">
        <v>1995</v>
      </c>
      <c r="C11" s="1">
        <v>268643.45</v>
      </c>
      <c r="D11" s="1">
        <v>120.74</v>
      </c>
    </row>
    <row r="12" spans="1:4" x14ac:dyDescent="0.35">
      <c r="A12" s="1" t="s">
        <v>98</v>
      </c>
      <c r="B12" s="1">
        <v>1593</v>
      </c>
      <c r="C12" s="1">
        <v>251889.49</v>
      </c>
      <c r="D12" s="1">
        <v>144.27000000000001</v>
      </c>
    </row>
    <row r="13" spans="1:4" x14ac:dyDescent="0.35">
      <c r="A13" s="1" t="s">
        <v>99</v>
      </c>
      <c r="B13" s="1">
        <v>1279</v>
      </c>
      <c r="C13" s="1">
        <v>219757.38</v>
      </c>
      <c r="D13" s="1">
        <v>154.11000000000001</v>
      </c>
    </row>
    <row r="14" spans="1:4" x14ac:dyDescent="0.35">
      <c r="A14" s="1" t="s">
        <v>100</v>
      </c>
      <c r="B14" s="1">
        <v>946</v>
      </c>
      <c r="C14" s="1">
        <v>174470.59</v>
      </c>
      <c r="D14" s="1">
        <v>165.53</v>
      </c>
    </row>
    <row r="15" spans="1:4" x14ac:dyDescent="0.35">
      <c r="A15" s="1" t="s">
        <v>101</v>
      </c>
      <c r="B15" s="1">
        <v>886</v>
      </c>
      <c r="C15" s="1">
        <v>152191.62</v>
      </c>
      <c r="D15" s="1">
        <v>146.76</v>
      </c>
    </row>
    <row r="16" spans="1:4" x14ac:dyDescent="0.35">
      <c r="A16" s="1" t="s">
        <v>102</v>
      </c>
      <c r="B16" s="1">
        <v>717</v>
      </c>
      <c r="C16" s="1">
        <v>117009.38</v>
      </c>
      <c r="D16" s="1">
        <v>146.26</v>
      </c>
    </row>
    <row r="17" spans="1:4" x14ac:dyDescent="0.35">
      <c r="A17" s="1" t="s">
        <v>103</v>
      </c>
      <c r="B17" s="1">
        <v>701</v>
      </c>
      <c r="C17" s="1">
        <v>115429.97</v>
      </c>
      <c r="D17" s="1">
        <v>142.33000000000001</v>
      </c>
    </row>
    <row r="18" spans="1:4" x14ac:dyDescent="0.35">
      <c r="A18" s="1" t="s">
        <v>104</v>
      </c>
      <c r="B18" s="1">
        <v>517</v>
      </c>
      <c r="C18" s="1">
        <v>112586.82</v>
      </c>
      <c r="D18" s="1">
        <v>192.13</v>
      </c>
    </row>
    <row r="19" spans="1:4" x14ac:dyDescent="0.35">
      <c r="A19" s="1" t="s">
        <v>105</v>
      </c>
      <c r="B19" s="1">
        <v>476</v>
      </c>
      <c r="C19" s="1">
        <v>84721</v>
      </c>
      <c r="D19" s="1">
        <v>161.99</v>
      </c>
    </row>
    <row r="20" spans="1:4" x14ac:dyDescent="0.35">
      <c r="A20" s="1" t="s">
        <v>106</v>
      </c>
      <c r="B20" s="1">
        <v>474</v>
      </c>
      <c r="C20" s="1">
        <v>82105.66</v>
      </c>
      <c r="D20" s="1">
        <v>157.59</v>
      </c>
    </row>
    <row r="21" spans="1:4" x14ac:dyDescent="0.35">
      <c r="A21" s="1" t="s">
        <v>107</v>
      </c>
      <c r="B21" s="1">
        <v>397</v>
      </c>
      <c r="C21" s="1">
        <v>78855.72</v>
      </c>
      <c r="D21" s="1">
        <v>184.67</v>
      </c>
    </row>
    <row r="22" spans="1:4" x14ac:dyDescent="0.35">
      <c r="A22" s="1" t="s">
        <v>108</v>
      </c>
      <c r="B22" s="1">
        <v>335</v>
      </c>
      <c r="C22" s="1">
        <v>56574.19</v>
      </c>
      <c r="D22" s="1">
        <v>150.86000000000001</v>
      </c>
    </row>
    <row r="23" spans="1:4" x14ac:dyDescent="0.35">
      <c r="A23" s="1" t="s">
        <v>109</v>
      </c>
      <c r="B23" s="1">
        <v>274</v>
      </c>
      <c r="C23" s="1">
        <v>48402.51</v>
      </c>
      <c r="D23" s="1">
        <v>156.13999999999999</v>
      </c>
    </row>
    <row r="24" spans="1:4" x14ac:dyDescent="0.35">
      <c r="A24" s="1" t="s">
        <v>110</v>
      </c>
      <c r="B24" s="1">
        <v>243</v>
      </c>
      <c r="C24" s="1">
        <v>45682.76</v>
      </c>
      <c r="D24" s="1">
        <v>167.34</v>
      </c>
    </row>
    <row r="25" spans="1:4" x14ac:dyDescent="0.35">
      <c r="A25" s="1" t="s">
        <v>111</v>
      </c>
      <c r="B25" s="1">
        <v>145</v>
      </c>
      <c r="C25" s="1">
        <v>22155.84</v>
      </c>
      <c r="D25" s="1">
        <v>135.93</v>
      </c>
    </row>
    <row r="26" spans="1:4" x14ac:dyDescent="0.35">
      <c r="A26" s="1" t="s">
        <v>112</v>
      </c>
      <c r="B26" s="1">
        <v>80</v>
      </c>
      <c r="C26" s="1">
        <v>15930.97</v>
      </c>
      <c r="D26" s="1">
        <v>175.07</v>
      </c>
    </row>
    <row r="27" spans="1:4" x14ac:dyDescent="0.35">
      <c r="A27" s="1" t="s">
        <v>113</v>
      </c>
      <c r="B27" s="1">
        <v>67</v>
      </c>
      <c r="C27" s="1">
        <v>13374.81</v>
      </c>
      <c r="D27" s="1">
        <v>165.12</v>
      </c>
    </row>
    <row r="28" spans="1:4" x14ac:dyDescent="0.35">
      <c r="A28" s="1" t="s">
        <v>114</v>
      </c>
      <c r="B28" s="1">
        <v>41</v>
      </c>
      <c r="C28" s="1">
        <v>7057.47</v>
      </c>
      <c r="D28" s="1">
        <v>153.41999999999999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1"/>
  <sheetViews>
    <sheetView tabSelected="1" workbookViewId="0">
      <selection activeCell="C7" sqref="C7"/>
    </sheetView>
  </sheetViews>
  <sheetFormatPr defaultRowHeight="14.5" x14ac:dyDescent="0.35"/>
  <cols>
    <col min="1" max="1" width="12.36328125" bestFit="1" customWidth="1"/>
    <col min="2" max="2" width="19.08984375" bestFit="1" customWidth="1"/>
  </cols>
  <sheetData>
    <row r="3" spans="1:2" x14ac:dyDescent="0.35">
      <c r="A3" s="14" t="s">
        <v>3</v>
      </c>
      <c r="B3" s="8" t="s">
        <v>85</v>
      </c>
    </row>
    <row r="4" spans="1:2" x14ac:dyDescent="0.35">
      <c r="A4" s="8" t="s">
        <v>112</v>
      </c>
      <c r="B4" s="9">
        <v>15930.97</v>
      </c>
    </row>
    <row r="5" spans="1:2" x14ac:dyDescent="0.35">
      <c r="A5" s="8" t="s">
        <v>107</v>
      </c>
      <c r="B5" s="9">
        <v>78855.72</v>
      </c>
    </row>
    <row r="6" spans="1:2" x14ac:dyDescent="0.35">
      <c r="A6" s="8" t="s">
        <v>111</v>
      </c>
      <c r="B6" s="9">
        <v>22155.84</v>
      </c>
    </row>
    <row r="7" spans="1:2" x14ac:dyDescent="0.35">
      <c r="A7" s="8" t="s">
        <v>113</v>
      </c>
      <c r="B7" s="9">
        <v>13374.81</v>
      </c>
    </row>
    <row r="8" spans="1:2" x14ac:dyDescent="0.35">
      <c r="A8" s="8" t="s">
        <v>94</v>
      </c>
      <c r="B8" s="9">
        <v>493584.14</v>
      </c>
    </row>
    <row r="9" spans="1:2" x14ac:dyDescent="0.35">
      <c r="A9" s="8" t="s">
        <v>99</v>
      </c>
      <c r="B9" s="9">
        <v>219757.38</v>
      </c>
    </row>
    <row r="10" spans="1:2" x14ac:dyDescent="0.35">
      <c r="A10" s="8" t="s">
        <v>95</v>
      </c>
      <c r="B10" s="9">
        <v>296498.40999999997</v>
      </c>
    </row>
    <row r="11" spans="1:2" x14ac:dyDescent="0.35">
      <c r="A11" s="8" t="s">
        <v>97</v>
      </c>
      <c r="B11" s="9">
        <v>268643.45</v>
      </c>
    </row>
    <row r="12" spans="1:2" x14ac:dyDescent="0.35">
      <c r="A12" s="8" t="s">
        <v>96</v>
      </c>
      <c r="B12" s="9">
        <v>282836.7</v>
      </c>
    </row>
    <row r="13" spans="1:2" x14ac:dyDescent="0.35">
      <c r="A13" s="8" t="s">
        <v>102</v>
      </c>
      <c r="B13" s="9">
        <v>117009.38</v>
      </c>
    </row>
    <row r="14" spans="1:2" x14ac:dyDescent="0.35">
      <c r="A14" s="8" t="s">
        <v>90</v>
      </c>
      <c r="B14" s="9">
        <v>1552481.83</v>
      </c>
    </row>
    <row r="15" spans="1:2" x14ac:dyDescent="0.35">
      <c r="A15" s="8" t="s">
        <v>103</v>
      </c>
      <c r="B15" s="9">
        <v>115429.97</v>
      </c>
    </row>
    <row r="16" spans="1:2" x14ac:dyDescent="0.35">
      <c r="A16" s="8" t="s">
        <v>101</v>
      </c>
      <c r="B16" s="9">
        <v>152191.62</v>
      </c>
    </row>
    <row r="17" spans="1:2" x14ac:dyDescent="0.35">
      <c r="A17" s="8" t="s">
        <v>100</v>
      </c>
      <c r="B17" s="9">
        <v>174470.59</v>
      </c>
    </row>
    <row r="18" spans="1:2" x14ac:dyDescent="0.35">
      <c r="A18" s="8" t="s">
        <v>104</v>
      </c>
      <c r="B18" s="9">
        <v>112586.82</v>
      </c>
    </row>
    <row r="19" spans="1:2" x14ac:dyDescent="0.35">
      <c r="A19" s="8" t="s">
        <v>98</v>
      </c>
      <c r="B19" s="9">
        <v>251889.49</v>
      </c>
    </row>
    <row r="20" spans="1:2" x14ac:dyDescent="0.35">
      <c r="A20" s="8" t="s">
        <v>105</v>
      </c>
      <c r="B20" s="9">
        <v>84721</v>
      </c>
    </row>
    <row r="21" spans="1:2" x14ac:dyDescent="0.35">
      <c r="A21" s="8" t="s">
        <v>92</v>
      </c>
      <c r="B21" s="9">
        <v>666063.51</v>
      </c>
    </row>
    <row r="22" spans="1:2" x14ac:dyDescent="0.35">
      <c r="A22" s="8" t="s">
        <v>89</v>
      </c>
      <c r="B22" s="9">
        <v>1759651.13</v>
      </c>
    </row>
    <row r="23" spans="1:2" x14ac:dyDescent="0.35">
      <c r="A23" s="8" t="s">
        <v>106</v>
      </c>
      <c r="B23" s="9">
        <v>82105.66</v>
      </c>
    </row>
    <row r="24" spans="1:2" x14ac:dyDescent="0.35">
      <c r="A24" s="8" t="s">
        <v>110</v>
      </c>
      <c r="B24" s="9">
        <v>45682.76</v>
      </c>
    </row>
    <row r="25" spans="1:2" x14ac:dyDescent="0.35">
      <c r="A25" s="8" t="s">
        <v>114</v>
      </c>
      <c r="B25" s="9">
        <v>7057.47</v>
      </c>
    </row>
    <row r="26" spans="1:2" x14ac:dyDescent="0.35">
      <c r="A26" s="8" t="s">
        <v>91</v>
      </c>
      <c r="B26" s="9">
        <v>728897.47</v>
      </c>
    </row>
    <row r="27" spans="1:2" x14ac:dyDescent="0.35">
      <c r="A27" s="8" t="s">
        <v>93</v>
      </c>
      <c r="B27" s="9">
        <v>507012.13</v>
      </c>
    </row>
    <row r="28" spans="1:2" x14ac:dyDescent="0.35">
      <c r="A28" s="8" t="s">
        <v>108</v>
      </c>
      <c r="B28" s="9">
        <v>56574.19</v>
      </c>
    </row>
    <row r="29" spans="1:2" x14ac:dyDescent="0.35">
      <c r="A29" s="8" t="s">
        <v>88</v>
      </c>
      <c r="B29" s="9">
        <v>5067633.16</v>
      </c>
    </row>
    <row r="30" spans="1:2" x14ac:dyDescent="0.35">
      <c r="A30" s="8" t="s">
        <v>109</v>
      </c>
      <c r="B30" s="9">
        <v>48402.51</v>
      </c>
    </row>
    <row r="31" spans="1:2" x14ac:dyDescent="0.35">
      <c r="A31" s="8" t="s">
        <v>4</v>
      </c>
      <c r="B31" s="9">
        <v>13221498.109999999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4.5" x14ac:dyDescent="0.35"/>
  <cols>
    <col min="1" max="1" width="17.36328125" bestFit="1" customWidth="1"/>
    <col min="2" max="2" width="16.90625" bestFit="1" customWidth="1"/>
    <col min="3" max="3" width="13.54296875" bestFit="1" customWidth="1"/>
  </cols>
  <sheetData>
    <row r="1" spans="1:3" x14ac:dyDescent="0.35">
      <c r="A1" s="1" t="s">
        <v>115</v>
      </c>
      <c r="B1" s="1" t="s">
        <v>116</v>
      </c>
      <c r="C1" s="1" t="s">
        <v>1</v>
      </c>
    </row>
    <row r="2" spans="1:3" x14ac:dyDescent="0.35">
      <c r="A2" s="1" t="s">
        <v>117</v>
      </c>
      <c r="B2" s="1">
        <v>90557</v>
      </c>
      <c r="C2" s="1">
        <v>90557</v>
      </c>
    </row>
    <row r="3" spans="1:3" x14ac:dyDescent="0.35">
      <c r="A3" s="1" t="s">
        <v>118</v>
      </c>
      <c r="B3" s="1">
        <v>2801</v>
      </c>
      <c r="C3" s="1">
        <v>5921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A16" sqref="A16"/>
    </sheetView>
  </sheetViews>
  <sheetFormatPr defaultRowHeight="14.5" x14ac:dyDescent="0.35"/>
  <cols>
    <col min="1" max="1" width="17.36328125" bestFit="1" customWidth="1"/>
    <col min="2" max="2" width="21.08984375" bestFit="1" customWidth="1"/>
  </cols>
  <sheetData>
    <row r="3" spans="1:2" x14ac:dyDescent="0.35">
      <c r="A3" s="12" t="s">
        <v>3</v>
      </c>
      <c r="B3" t="s">
        <v>119</v>
      </c>
    </row>
    <row r="4" spans="1:2" x14ac:dyDescent="0.35">
      <c r="A4" s="13" t="s">
        <v>117</v>
      </c>
      <c r="B4" s="1">
        <v>90557</v>
      </c>
    </row>
    <row r="5" spans="1:2" x14ac:dyDescent="0.35">
      <c r="A5" s="13" t="s">
        <v>118</v>
      </c>
      <c r="B5" s="1">
        <v>2801</v>
      </c>
    </row>
    <row r="6" spans="1:2" x14ac:dyDescent="0.35">
      <c r="A6" s="13" t="s">
        <v>4</v>
      </c>
      <c r="B6" s="1">
        <v>93358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948258-DBDD-4F01-8147-3DF533E3AD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 sales_month_table</vt:lpstr>
      <vt:lpstr>sales_month analyses</vt:lpstr>
      <vt:lpstr>category_performance</vt:lpstr>
      <vt:lpstr>category_performance analyses</vt:lpstr>
      <vt:lpstr>category_performance top10</vt:lpstr>
      <vt:lpstr>regional_revenue</vt:lpstr>
      <vt:lpstr>regional_revenue analyses</vt:lpstr>
      <vt:lpstr>repeat_customers</vt:lpstr>
      <vt:lpstr>repeat_customers analyses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2026-08-16T12:30:33Z</dcterms:created>
  <dcterms:modified xsi:type="dcterms:W3CDTF">2026-08-16T14:01:25Z</dcterms:modified>
</cp:coreProperties>
</file>